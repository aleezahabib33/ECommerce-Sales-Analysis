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rawings/drawing2.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drawings/drawing4.xml" ContentType="application/vnd.openxmlformats-officedocument.drawingml.chartshapes+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d7da8c548fc56012/Documents/"/>
    </mc:Choice>
  </mc:AlternateContent>
  <xr:revisionPtr revIDLastSave="6" documentId="8_{08472E20-67AF-459D-B001-598DEF56BD07}" xr6:coauthVersionLast="47" xr6:coauthVersionMax="47" xr10:uidLastSave="{D06634C1-2A7E-4F27-9176-163218AD8219}"/>
  <bookViews>
    <workbookView xWindow="-110" yWindow="-110" windowWidth="19420" windowHeight="10300" firstSheet="3" activeTab="7" xr2:uid="{00000000-000D-0000-FFFF-FFFF00000000}"/>
  </bookViews>
  <sheets>
    <sheet name="Raw_Orders" sheetId="1" r:id="rId1"/>
    <sheet name="Clean_Orders" sheetId="4" r:id="rId2"/>
    <sheet name="Customers" sheetId="2" r:id="rId3"/>
    <sheet name="Monthly_Targets" sheetId="3" r:id="rId4"/>
    <sheet name="Monthly_Targets_Clean" sheetId="9" r:id="rId5"/>
    <sheet name="Analysis" sheetId="5" r:id="rId6"/>
    <sheet name="Visualization" sheetId="6" r:id="rId7"/>
    <sheet name="Dashboard" sheetId="7" r:id="rId8"/>
  </sheets>
  <definedNames>
    <definedName name="_xlnm._FilterDatabase" localSheetId="3" hidden="1">Monthly_Targets!$A$1:$D$1</definedName>
    <definedName name="_xlnm._FilterDatabase" localSheetId="0" hidden="1">Raw_Orders!$A$1:$K$49</definedName>
    <definedName name="_xlcn.WorksheetConnection_Project_2_ECommerce_Sales_Analysis.xlsxClean_Orders_" hidden="1">Clean_Orders_[]</definedName>
    <definedName name="_xlcn.WorksheetConnection_Project_2_ECommerce_Sales_Analysis.xlsxMonthly_Targets_Clean" hidden="1">Monthly_Targets_Clean[]</definedName>
    <definedName name="ExternalData_1" localSheetId="1" hidden="1">Clean_Orders!$A$1:$P$49</definedName>
    <definedName name="ExternalData_3" localSheetId="4" hidden="1">Monthly_Targets_Clean!$A$1:$D$16</definedName>
    <definedName name="Slicer_Category">#N/A</definedName>
    <definedName name="Slicer_Channel">#N/A</definedName>
    <definedName name="Slicer_Region">#N/A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Monthly_Targets_Clean" name="Monthly_Targets_Clean" connection="WorksheetConnection_Project_2_ECommerce_Sales_Analysis.xlsx!Monthly_Targets_Clean"/>
          <x15:modelTable id="Clean_Orders_" name="Clean_Orders_" connection="WorksheetConnection_Project_2_ECommerce_Sales_Analysis.xlsx!Clean_Orders_"/>
        </x15:modelTables>
        <x15:modelRelationships>
          <x15:modelRelationship fromTable="Clean_Orders_" fromColumn="Product_Month" toTable="Monthly_Targets_Clean" toColumn="Product_Month"/>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7" i="5" l="1"/>
  <c r="G7" i="5"/>
  <c r="C7" i="5"/>
  <c r="E7" i="5"/>
  <c r="J7" i="6" l="1"/>
  <c r="G7" i="7"/>
  <c r="F7" i="6"/>
  <c r="D7" i="7"/>
  <c r="I7" i="5"/>
  <c r="J7" i="7"/>
  <c r="N7" i="6"/>
  <c r="A7" i="7"/>
  <c r="B7" i="6"/>
  <c r="R7" i="6" l="1"/>
  <c r="M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E66CD3-A277-4365-922A-B92703E6E968}" keepAlive="1" name="Query - Clean_Orders" description="Connection to the 'Clean_Orders' query in the workbook." type="5" refreshedVersion="7" background="1" saveData="1">
    <dbPr connection="Provider=Microsoft.Mashup.OleDb.1;Data Source=$Workbook$;Location=Clean_Orders;Extended Properties=&quot;&quot;" command="SELECT * FROM [Clean_Orders]"/>
  </connection>
  <connection id="2" xr16:uid="{21A78D03-CD1C-4C26-A4F1-FCD8C44F71F2}"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3" xr16:uid="{99A1FC9D-8432-4AB6-AFCE-DA287E5CFA84}" keepAlive="1" name="Query - Monthly_Targets_Clean" description="Connection to the 'Monthly_Targets_Clean' query in the workbook." type="5" refreshedVersion="7" background="1" saveData="1">
    <dbPr connection="Provider=Microsoft.Mashup.OleDb.1;Data Source=$Workbook$;Location=Monthly_Targets_Clean;Extended Properties=&quot;&quot;" command="SELECT * FROM [Monthly_Targets_Clean]"/>
  </connection>
  <connection id="4" xr16:uid="{86077ACA-9ACD-45BD-9D7C-88E418FC5AA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316A53C8-E16A-4877-AF10-0E88995FCC00}" name="WorksheetConnection_Project_2_ECommerce_Sales_Analysis.xlsx!Clean_Orders_" type="102" refreshedVersion="7" minRefreshableVersion="5">
    <extLst>
      <ext xmlns:x15="http://schemas.microsoft.com/office/spreadsheetml/2010/11/main" uri="{DE250136-89BD-433C-8126-D09CA5730AF9}">
        <x15:connection id="Clean_Orders_">
          <x15:rangePr sourceName="_xlcn.WorksheetConnection_Project_2_ECommerce_Sales_Analysis.xlsxClean_Orders_"/>
        </x15:connection>
      </ext>
    </extLst>
  </connection>
  <connection id="6" xr16:uid="{7E48A777-5190-400A-B865-7641511A2684}" name="WorksheetConnection_Project_2_ECommerce_Sales_Analysis.xlsx!Monthly_Targets_Clean" type="102" refreshedVersion="7" minRefreshableVersion="5">
    <extLst>
      <ext xmlns:x15="http://schemas.microsoft.com/office/spreadsheetml/2010/11/main" uri="{DE250136-89BD-433C-8126-D09CA5730AF9}">
        <x15:connection id="Monthly_Targets_Clean">
          <x15:rangePr sourceName="_xlcn.WorksheetConnection_Project_2_ECommerce_Sales_Analysis.xlsxMonthly_Targets_Clean"/>
        </x15:connection>
      </ext>
    </extLst>
  </connection>
</connections>
</file>

<file path=xl/sharedStrings.xml><?xml version="1.0" encoding="utf-8"?>
<sst xmlns="http://schemas.openxmlformats.org/spreadsheetml/2006/main" count="1005" uniqueCount="203">
  <si>
    <t>Order ID</t>
  </si>
  <si>
    <t>Customer ID</t>
  </si>
  <si>
    <t>Order Date</t>
  </si>
  <si>
    <t>Product</t>
  </si>
  <si>
    <t>Category</t>
  </si>
  <si>
    <t>Region</t>
  </si>
  <si>
    <t>Channel</t>
  </si>
  <si>
    <t>Quantity</t>
  </si>
  <si>
    <t>Sales</t>
  </si>
  <si>
    <t>Cost</t>
  </si>
  <si>
    <t>Customer</t>
  </si>
  <si>
    <t xml:space="preserve"> C001 </t>
  </si>
  <si>
    <t>2026-01-03</t>
  </si>
  <si>
    <t>Laptop</t>
  </si>
  <si>
    <t>Electronics</t>
  </si>
  <si>
    <t>North</t>
  </si>
  <si>
    <t>Online</t>
  </si>
  <si>
    <t>Ali</t>
  </si>
  <si>
    <t>C002</t>
  </si>
  <si>
    <t>2026-01-05</t>
  </si>
  <si>
    <t>Mouse</t>
  </si>
  <si>
    <t>South</t>
  </si>
  <si>
    <t>Sara</t>
  </si>
  <si>
    <t>C003</t>
  </si>
  <si>
    <t>2026-01-08</t>
  </si>
  <si>
    <t>Office Chair</t>
  </si>
  <si>
    <t>Furniture</t>
  </si>
  <si>
    <t>East</t>
  </si>
  <si>
    <t>Ahmed</t>
  </si>
  <si>
    <t>C004</t>
  </si>
  <si>
    <t>2026-01-12</t>
  </si>
  <si>
    <t>Keyboard</t>
  </si>
  <si>
    <t>West</t>
  </si>
  <si>
    <t>Hina</t>
  </si>
  <si>
    <t>C005</t>
  </si>
  <si>
    <t>2026-01-15</t>
  </si>
  <si>
    <t>Desk</t>
  </si>
  <si>
    <t>Usman</t>
  </si>
  <si>
    <t>C001</t>
  </si>
  <si>
    <t>2026-01-19</t>
  </si>
  <si>
    <t>Monitor</t>
  </si>
  <si>
    <t>C006</t>
  </si>
  <si>
    <t>2026-01-22</t>
  </si>
  <si>
    <t>Headphones</t>
  </si>
  <si>
    <t>Zara</t>
  </si>
  <si>
    <t>C007</t>
  </si>
  <si>
    <t>2026-01-25</t>
  </si>
  <si>
    <t>Bookshelf</t>
  </si>
  <si>
    <t>Hamza</t>
  </si>
  <si>
    <t>C008</t>
  </si>
  <si>
    <t>2026-01-28</t>
  </si>
  <si>
    <t>Ayesha</t>
  </si>
  <si>
    <t>C009</t>
  </si>
  <si>
    <t>2026-02-02</t>
  </si>
  <si>
    <t>Bilal</t>
  </si>
  <si>
    <t>C010</t>
  </si>
  <si>
    <t>2026-02-05</t>
  </si>
  <si>
    <t>Maham</t>
  </si>
  <si>
    <t>2026-02-09</t>
  </si>
  <si>
    <t>2026-02-13</t>
  </si>
  <si>
    <t>2026-02-16</t>
  </si>
  <si>
    <t>2026-02-20</t>
  </si>
  <si>
    <t>2026-02-24</t>
  </si>
  <si>
    <t>2026-03-01</t>
  </si>
  <si>
    <t>2026-03-04</t>
  </si>
  <si>
    <t>2026-03-08</t>
  </si>
  <si>
    <t>2026-03-12</t>
  </si>
  <si>
    <t>2026-03-15</t>
  </si>
  <si>
    <t>2026-03-18</t>
  </si>
  <si>
    <t>2026-03-21</t>
  </si>
  <si>
    <t>2026-03-25</t>
  </si>
  <si>
    <t>2026-03-28</t>
  </si>
  <si>
    <t>2026-04-02</t>
  </si>
  <si>
    <t>2026-04-06</t>
  </si>
  <si>
    <t>2026-04-10</t>
  </si>
  <si>
    <t>2026-04-14</t>
  </si>
  <si>
    <t>2026-04-18</t>
  </si>
  <si>
    <t>2026-04-22</t>
  </si>
  <si>
    <t>2026-04-26</t>
  </si>
  <si>
    <t>2026-05-01</t>
  </si>
  <si>
    <t>2026-05-05</t>
  </si>
  <si>
    <t>2026-05-09</t>
  </si>
  <si>
    <t>2026-05-13</t>
  </si>
  <si>
    <t>2026-05-17</t>
  </si>
  <si>
    <t>2026-05-21</t>
  </si>
  <si>
    <t>2026-05-25</t>
  </si>
  <si>
    <t>2026-05-29</t>
  </si>
  <si>
    <t>2026-06-03</t>
  </si>
  <si>
    <t>2026-06-07</t>
  </si>
  <si>
    <t>2026-06-11</t>
  </si>
  <si>
    <t>2026-06-15</t>
  </si>
  <si>
    <t>2026-06-19</t>
  </si>
  <si>
    <t>2026-06-23</t>
  </si>
  <si>
    <t>2026-06-26</t>
  </si>
  <si>
    <t>2026-06-29</t>
  </si>
  <si>
    <t>Customer Name</t>
  </si>
  <si>
    <t>Email</t>
  </si>
  <si>
    <t>City</t>
  </si>
  <si>
    <t>ali@example.com</t>
  </si>
  <si>
    <t>Lahore</t>
  </si>
  <si>
    <t>Multan</t>
  </si>
  <si>
    <t>ahmed@example.com</t>
  </si>
  <si>
    <t>Karachi</t>
  </si>
  <si>
    <t>hina@example.com</t>
  </si>
  <si>
    <t>Islamabad</t>
  </si>
  <si>
    <t>usman@example.com</t>
  </si>
  <si>
    <t>zara@example.com</t>
  </si>
  <si>
    <t>hamza@example.com</t>
  </si>
  <si>
    <t>Faisalabad</t>
  </si>
  <si>
    <t>ayesha@example.com</t>
  </si>
  <si>
    <t>bilal@example.com</t>
  </si>
  <si>
    <t>maham@example.com</t>
  </si>
  <si>
    <t>Jan Target</t>
  </si>
  <si>
    <t>Feb Target</t>
  </si>
  <si>
    <t>Mar Target</t>
  </si>
  <si>
    <t>Profit</t>
  </si>
  <si>
    <t>Profit Margin</t>
  </si>
  <si>
    <t>Month</t>
  </si>
  <si>
    <t>January</t>
  </si>
  <si>
    <t>February</t>
  </si>
  <si>
    <t>March</t>
  </si>
  <si>
    <t>April</t>
  </si>
  <si>
    <t>May</t>
  </si>
  <si>
    <t>June</t>
  </si>
  <si>
    <t>Grand Total</t>
  </si>
  <si>
    <t>Sum of Sales</t>
  </si>
  <si>
    <t>Sum of Profit</t>
  </si>
  <si>
    <t>Sum of Quantity</t>
  </si>
  <si>
    <t>Count of Order ID</t>
  </si>
  <si>
    <t>1. Sales by Category</t>
  </si>
  <si>
    <t>2. Profit by Category</t>
  </si>
  <si>
    <t>Total Sales</t>
  </si>
  <si>
    <t>Total Profit</t>
  </si>
  <si>
    <t>Total Orders</t>
  </si>
  <si>
    <t>Total Quantity</t>
  </si>
  <si>
    <t>Mobile App</t>
  </si>
  <si>
    <t>Store</t>
  </si>
  <si>
    <t>E-Commerce Sales Analysis</t>
  </si>
  <si>
    <t>Key Performance Indicators</t>
  </si>
  <si>
    <t>E-Commerce Sales Visualization</t>
  </si>
  <si>
    <t>Performance Overview</t>
  </si>
  <si>
    <t>E-Commerce Sales Dashboard</t>
  </si>
  <si>
    <t>Business Performance Overview</t>
  </si>
  <si>
    <t>Target</t>
  </si>
  <si>
    <t>Product_Month</t>
  </si>
  <si>
    <t>Laptop_January</t>
  </si>
  <si>
    <t>Laptop_February</t>
  </si>
  <si>
    <t>Laptop_March</t>
  </si>
  <si>
    <t>Mouse_January</t>
  </si>
  <si>
    <t>Mouse_February</t>
  </si>
  <si>
    <t>Mouse_March</t>
  </si>
  <si>
    <t>Keyboard_January</t>
  </si>
  <si>
    <t>Keyboard_February</t>
  </si>
  <si>
    <t>Keyboard_March</t>
  </si>
  <si>
    <t>Monitor_January</t>
  </si>
  <si>
    <t>Monitor_February</t>
  </si>
  <si>
    <t>Monitor_March</t>
  </si>
  <si>
    <t>Office Chair_January</t>
  </si>
  <si>
    <t>Office Chair_February</t>
  </si>
  <si>
    <t>Office Chair_March</t>
  </si>
  <si>
    <t>Desk_January</t>
  </si>
  <si>
    <t>Headphones_January</t>
  </si>
  <si>
    <t>Bookshelf_January</t>
  </si>
  <si>
    <t>Desk_February</t>
  </si>
  <si>
    <t>Headphones_February</t>
  </si>
  <si>
    <t>Bookshelf_March</t>
  </si>
  <si>
    <t>Desk_March</t>
  </si>
  <si>
    <t>Headphones_April</t>
  </si>
  <si>
    <t>Bookshelf_April</t>
  </si>
  <si>
    <t>Laptop_April</t>
  </si>
  <si>
    <t>Mouse_April</t>
  </si>
  <si>
    <t>Desk_April</t>
  </si>
  <si>
    <t>Monitor_April</t>
  </si>
  <si>
    <t>Keyboard_April</t>
  </si>
  <si>
    <t>Office Chair_May</t>
  </si>
  <si>
    <t>Laptop_May</t>
  </si>
  <si>
    <t>Desk_May</t>
  </si>
  <si>
    <t>Headphones_May</t>
  </si>
  <si>
    <t>Bookshelf_May</t>
  </si>
  <si>
    <t>Mouse_May</t>
  </si>
  <si>
    <t>Monitor_June</t>
  </si>
  <si>
    <t>Keyboard_June</t>
  </si>
  <si>
    <t>Office Chair_June</t>
  </si>
  <si>
    <t>Laptop_June</t>
  </si>
  <si>
    <t>Desk_June</t>
  </si>
  <si>
    <t>Headphones_June</t>
  </si>
  <si>
    <t>Bookshelf_June</t>
  </si>
  <si>
    <t>Sum of Target</t>
  </si>
  <si>
    <t>3. Monthly Sales &amp; Profit</t>
  </si>
  <si>
    <t>4. Sales by Region</t>
  </si>
  <si>
    <t>5. Product Quantity</t>
  </si>
  <si>
    <t>6. Customer Sales</t>
  </si>
  <si>
    <t>7. Sales by Channel</t>
  </si>
  <si>
    <t>8. Orders by Region</t>
  </si>
  <si>
    <t xml:space="preserve">sara@example.com </t>
  </si>
  <si>
    <t>Business Inshights</t>
  </si>
  <si>
    <t>9. Actual Sales vs Target</t>
  </si>
  <si>
    <r>
      <rPr>
        <b/>
        <sz val="12"/>
        <color theme="1"/>
        <rFont val="Calibri"/>
        <family val="2"/>
        <scheme val="minor"/>
      </rPr>
      <t>1. Electronics</t>
    </r>
    <r>
      <rPr>
        <sz val="12"/>
        <color theme="1"/>
        <rFont val="Calibri"/>
        <family val="2"/>
        <scheme val="minor"/>
      </rPr>
      <t xml:space="preserve"> generated the highest sales at </t>
    </r>
    <r>
      <rPr>
        <b/>
        <sz val="12"/>
        <color theme="1"/>
        <rFont val="Calibri"/>
        <family val="2"/>
        <scheme val="minor"/>
      </rPr>
      <t>$1.62M</t>
    </r>
    <r>
      <rPr>
        <sz val="12"/>
        <color theme="1"/>
        <rFont val="Calibri"/>
        <family val="2"/>
        <scheme val="minor"/>
      </rPr>
      <t>, contributing the majority of total revenue.</t>
    </r>
  </si>
  <si>
    <r>
      <rPr>
        <b/>
        <sz val="12"/>
        <color theme="1"/>
        <rFont val="Calibri"/>
        <family val="2"/>
        <scheme val="minor"/>
      </rPr>
      <t>2. North</t>
    </r>
    <r>
      <rPr>
        <sz val="12"/>
        <color theme="1"/>
        <rFont val="Calibri"/>
        <family val="2"/>
        <scheme val="minor"/>
      </rPr>
      <t xml:space="preserve"> region recorded the highest sales at </t>
    </r>
    <r>
      <rPr>
        <b/>
        <sz val="12"/>
        <color theme="1"/>
        <rFont val="Calibri"/>
        <family val="2"/>
        <scheme val="minor"/>
      </rPr>
      <t>$925K</t>
    </r>
    <r>
      <rPr>
        <sz val="12"/>
        <color theme="1"/>
        <rFont val="Calibri"/>
        <family val="2"/>
        <scheme val="minor"/>
      </rPr>
      <t xml:space="preserve">, while </t>
    </r>
    <r>
      <rPr>
        <b/>
        <sz val="12"/>
        <color theme="1"/>
        <rFont val="Calibri"/>
        <family val="2"/>
        <scheme val="minor"/>
      </rPr>
      <t>South</t>
    </r>
    <r>
      <rPr>
        <sz val="12"/>
        <color theme="1"/>
        <rFont val="Calibri"/>
        <family val="2"/>
        <scheme val="minor"/>
      </rPr>
      <t xml:space="preserve"> recorded the lowest at</t>
    </r>
    <r>
      <rPr>
        <b/>
        <sz val="12"/>
        <color theme="1"/>
        <rFont val="Calibri"/>
        <family val="2"/>
        <scheme val="minor"/>
      </rPr>
      <t xml:space="preserve"> $330K</t>
    </r>
    <r>
      <rPr>
        <sz val="12"/>
        <color theme="1"/>
        <rFont val="Calibri"/>
        <family val="2"/>
        <scheme val="minor"/>
      </rPr>
      <t>.</t>
    </r>
  </si>
  <si>
    <r>
      <rPr>
        <b/>
        <sz val="12"/>
        <color theme="1"/>
        <rFont val="Calibri"/>
        <family val="2"/>
        <scheme val="minor"/>
      </rPr>
      <t>3. Mouse</t>
    </r>
    <r>
      <rPr>
        <sz val="12"/>
        <color theme="1"/>
        <rFont val="Calibri"/>
        <family val="2"/>
        <scheme val="minor"/>
      </rPr>
      <t xml:space="preserve"> was the best-selling product by quantity, with </t>
    </r>
    <r>
      <rPr>
        <b/>
        <sz val="12"/>
        <color theme="1"/>
        <rFont val="Calibri"/>
        <family val="2"/>
        <scheme val="minor"/>
      </rPr>
      <t>38 units sold</t>
    </r>
    <r>
      <rPr>
        <sz val="12"/>
        <color theme="1"/>
        <rFont val="Calibri"/>
        <family val="2"/>
        <scheme val="minor"/>
      </rPr>
      <t>.</t>
    </r>
  </si>
  <si>
    <r>
      <rPr>
        <b/>
        <sz val="12"/>
        <color theme="1"/>
        <rFont val="Calibri"/>
        <family val="2"/>
        <scheme val="minor"/>
      </rPr>
      <t>4. Hina</t>
    </r>
    <r>
      <rPr>
        <sz val="12"/>
        <color theme="1"/>
        <rFont val="Calibri"/>
        <family val="2"/>
        <scheme val="minor"/>
      </rPr>
      <t xml:space="preserve"> was the highest-value customer with </t>
    </r>
    <r>
      <rPr>
        <b/>
        <sz val="12"/>
        <color theme="1"/>
        <rFont val="Calibri"/>
        <family val="2"/>
        <scheme val="minor"/>
      </rPr>
      <t>$425K</t>
    </r>
    <r>
      <rPr>
        <sz val="12"/>
        <color theme="1"/>
        <rFont val="Calibri"/>
        <family val="2"/>
        <scheme val="minor"/>
      </rPr>
      <t xml:space="preserve"> in total sales.</t>
    </r>
  </si>
  <si>
    <r>
      <rPr>
        <b/>
        <sz val="12"/>
        <color theme="1"/>
        <rFont val="Calibri"/>
        <family val="2"/>
        <scheme val="minor"/>
      </rPr>
      <t>5</t>
    </r>
    <r>
      <rPr>
        <sz val="12"/>
        <color theme="1"/>
        <rFont val="Calibri"/>
        <family val="2"/>
        <scheme val="minor"/>
      </rPr>
      <t xml:space="preserve">. Overall profit was </t>
    </r>
    <r>
      <rPr>
        <b/>
        <sz val="12"/>
        <color theme="1"/>
        <rFont val="Calibri"/>
        <family val="2"/>
        <scheme val="minor"/>
      </rPr>
      <t>$725.5K</t>
    </r>
    <r>
      <rPr>
        <sz val="12"/>
        <color theme="1"/>
        <rFont val="Calibri"/>
        <family val="2"/>
        <scheme val="minor"/>
      </rPr>
      <t xml:space="preserve">, giving an overall profit margin of approximately </t>
    </r>
    <r>
      <rPr>
        <b/>
        <sz val="12"/>
        <color theme="1"/>
        <rFont val="Calibri"/>
        <family val="2"/>
        <scheme val="minor"/>
      </rPr>
      <t>29.1%</t>
    </r>
    <r>
      <rPr>
        <sz val="12"/>
        <color theme="1"/>
        <rFont val="Calibri"/>
        <family val="2"/>
        <scheme val="minor"/>
      </rPr>
      <t>.</t>
    </r>
  </si>
  <si>
    <r>
      <rPr>
        <b/>
        <sz val="12"/>
        <color theme="1"/>
        <rFont val="Calibri"/>
        <family val="2"/>
        <scheme val="minor"/>
      </rPr>
      <t>6.</t>
    </r>
    <r>
      <rPr>
        <sz val="12"/>
        <color theme="1"/>
        <rFont val="Calibri"/>
        <family val="2"/>
        <scheme val="minor"/>
      </rPr>
      <t xml:space="preserve"> Actual sales for </t>
    </r>
    <r>
      <rPr>
        <b/>
        <sz val="12"/>
        <color theme="1"/>
        <rFont val="Calibri"/>
        <family val="2"/>
        <scheme val="minor"/>
      </rPr>
      <t>January–March</t>
    </r>
    <r>
      <rPr>
        <sz val="12"/>
        <color theme="1"/>
        <rFont val="Calibri"/>
        <family val="2"/>
        <scheme val="minor"/>
      </rPr>
      <t xml:space="preserve"> were $862.5K against a target of </t>
    </r>
    <r>
      <rPr>
        <b/>
        <sz val="12"/>
        <color theme="1"/>
        <rFont val="Calibri"/>
        <family val="2"/>
        <scheme val="minor"/>
      </rPr>
      <t>$975K</t>
    </r>
    <r>
      <rPr>
        <sz val="12"/>
        <color theme="1"/>
        <rFont val="Calibri"/>
        <family val="2"/>
        <scheme val="minor"/>
      </rPr>
      <t xml:space="preserve">, resulting in a </t>
    </r>
    <r>
      <rPr>
        <b/>
        <sz val="12"/>
        <color theme="1"/>
        <rFont val="Calibri"/>
        <family val="2"/>
        <scheme val="minor"/>
      </rPr>
      <t>$112.5K</t>
    </r>
    <r>
      <rPr>
        <sz val="12"/>
        <color theme="1"/>
        <rFont val="Calibri"/>
        <family val="2"/>
        <scheme val="minor"/>
      </rPr>
      <t xml:space="preserve"> shortfall.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</si>
</sst>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name val="Calibri"/>
    </font>
    <font>
      <sz val="11"/>
      <color theme="1"/>
      <name val="Calibri"/>
      <family val="2"/>
      <scheme val="minor"/>
    </font>
    <font>
      <sz val="8"/>
      <name val="Calibri"/>
      <family val="2"/>
      <scheme val="minor"/>
    </font>
    <font>
      <b/>
      <sz val="11"/>
      <color theme="1"/>
      <name val="Calibri"/>
      <family val="2"/>
      <scheme val="minor"/>
    </font>
    <font>
      <u/>
      <sz val="11"/>
      <color theme="10"/>
      <name val="Calibri"/>
      <family val="2"/>
      <scheme val="minor"/>
    </font>
    <font>
      <b/>
      <sz val="20"/>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4"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9" fontId="2" fillId="0" borderId="0" applyFont="0" applyFill="0" applyBorder="0" applyAlignment="0" applyProtection="0"/>
    <xf numFmtId="0" fontId="5" fillId="0" borderId="0" applyNumberFormat="0" applyFill="0" applyBorder="0" applyAlignment="0" applyProtection="0"/>
  </cellStyleXfs>
  <cellXfs count="40">
    <xf numFmtId="0" fontId="0" fillId="0" borderId="0" xfId="0"/>
    <xf numFmtId="0" fontId="1" fillId="0" borderId="2" xfId="0" applyFont="1" applyBorder="1" applyAlignment="1">
      <alignment horizontal="center" vertical="top"/>
    </xf>
    <xf numFmtId="0" fontId="0" fillId="0" borderId="0" xfId="0" applyNumberFormat="1"/>
    <xf numFmtId="14"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xf>
    <xf numFmtId="0" fontId="4" fillId="0" borderId="0" xfId="0" applyFont="1" applyAlignment="1">
      <alignment horizontal="center" vertical="center"/>
    </xf>
    <xf numFmtId="0" fontId="4" fillId="0" borderId="0" xfId="0" applyFont="1"/>
    <xf numFmtId="0" fontId="4" fillId="0" borderId="0" xfId="0" applyFont="1" applyAlignment="1"/>
    <xf numFmtId="0" fontId="0" fillId="0" borderId="0" xfId="0" applyAlignment="1"/>
    <xf numFmtId="0" fontId="7" fillId="0" borderId="0" xfId="0" applyFont="1" applyAlignment="1">
      <alignment horizontal="center" vertical="center"/>
    </xf>
    <xf numFmtId="0" fontId="0" fillId="0" borderId="0" xfId="0" applyAlignment="1">
      <alignment wrapText="1"/>
    </xf>
    <xf numFmtId="0" fontId="5" fillId="0" borderId="0" xfId="2"/>
    <xf numFmtId="0" fontId="4" fillId="2" borderId="1" xfId="0" applyFont="1" applyFill="1" applyBorder="1" applyAlignment="1">
      <alignment horizontal="center"/>
    </xf>
    <xf numFmtId="0" fontId="0" fillId="0" borderId="1" xfId="0" applyBorder="1" applyAlignment="1">
      <alignment horizontal="center"/>
    </xf>
    <xf numFmtId="0" fontId="8" fillId="0" borderId="0" xfId="0" applyFont="1" applyFill="1" applyBorder="1" applyAlignment="1">
      <alignment horizontal="center"/>
    </xf>
    <xf numFmtId="0" fontId="0" fillId="0" borderId="0" xfId="0" applyFill="1" applyBorder="1"/>
    <xf numFmtId="0" fontId="0" fillId="0" borderId="1" xfId="0" applyFill="1" applyBorder="1" applyAlignment="1">
      <alignment horizontal="center"/>
    </xf>
    <xf numFmtId="9" fontId="0" fillId="0" borderId="1" xfId="1" applyFont="1" applyFill="1" applyBorder="1" applyAlignment="1">
      <alignment horizontal="center"/>
    </xf>
    <xf numFmtId="0" fontId="7" fillId="0" borderId="0" xfId="0" applyFont="1" applyBorder="1" applyAlignment="1">
      <alignment horizontal="center" vertical="center"/>
    </xf>
    <xf numFmtId="0" fontId="0" fillId="0" borderId="0" xfId="0" applyBorder="1"/>
    <xf numFmtId="0" fontId="10" fillId="0" borderId="1" xfId="0" applyFont="1" applyFill="1" applyBorder="1" applyAlignment="1">
      <alignment horizontal="left" wrapText="1"/>
    </xf>
    <xf numFmtId="0" fontId="8" fillId="3" borderId="0" xfId="0" applyFont="1" applyFill="1" applyAlignment="1">
      <alignment horizontal="center"/>
    </xf>
    <xf numFmtId="0" fontId="9" fillId="3" borderId="0" xfId="0" applyFont="1" applyFill="1" applyAlignment="1">
      <alignment horizontal="center"/>
    </xf>
    <xf numFmtId="0" fontId="4" fillId="0" borderId="0" xfId="0" applyFont="1" applyAlignment="1">
      <alignment horizontal="center"/>
    </xf>
    <xf numFmtId="0" fontId="0" fillId="0" borderId="0" xfId="0" applyAlignment="1">
      <alignment horizontal="center"/>
    </xf>
    <xf numFmtId="0" fontId="6" fillId="2" borderId="1" xfId="0" applyFont="1" applyFill="1" applyBorder="1" applyAlignment="1">
      <alignment horizontal="center" vertical="center"/>
    </xf>
    <xf numFmtId="0" fontId="0" fillId="2" borderId="1" xfId="0" applyFill="1" applyBorder="1" applyAlignment="1">
      <alignment horizontal="center" vertical="center"/>
    </xf>
    <xf numFmtId="0" fontId="8" fillId="2" borderId="1" xfId="0" applyFont="1" applyFill="1" applyBorder="1" applyAlignment="1">
      <alignment horizontal="center"/>
    </xf>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4" fillId="3" borderId="1" xfId="0" applyFont="1" applyFill="1" applyBorder="1" applyAlignment="1">
      <alignment horizontal="center"/>
    </xf>
    <xf numFmtId="0" fontId="0" fillId="0" borderId="1" xfId="0" applyBorder="1" applyAlignment="1">
      <alignment horizontal="center"/>
    </xf>
    <xf numFmtId="9" fontId="0" fillId="0" borderId="1" xfId="0" applyNumberFormat="1" applyBorder="1" applyAlignment="1">
      <alignment horizontal="center"/>
    </xf>
    <xf numFmtId="0" fontId="0" fillId="0" borderId="1" xfId="0" applyFill="1" applyBorder="1" applyAlignment="1">
      <alignment horizontal="center"/>
    </xf>
    <xf numFmtId="10" fontId="0" fillId="0" borderId="1" xfId="0" applyNumberFormat="1" applyBorder="1" applyAlignment="1">
      <alignment horizontal="center"/>
    </xf>
    <xf numFmtId="0" fontId="0" fillId="3" borderId="1" xfId="0" applyFill="1" applyBorder="1" applyAlignment="1">
      <alignment horizontal="center" vertical="center"/>
    </xf>
  </cellXfs>
  <cellStyles count="3">
    <cellStyle name="Hyperlink" xfId="2" builtinId="8"/>
    <cellStyle name="Normal" xfId="0" builtinId="0"/>
    <cellStyle name="Per cent" xfId="1" builtinId="5"/>
  </cellStyles>
  <dxfs count="22">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19" formatCode="dd/mm/yyyy"/>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[ECommerce_Sales_Analysis.xlsx]Analysis!Sales by Category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Analysis!$A$11:$A$13</c:f>
              <c:strCache>
                <c:ptCount val="2"/>
                <c:pt idx="0">
                  <c:v>Electronics</c:v>
                </c:pt>
                <c:pt idx="1">
                  <c:v>Furniture</c:v>
                </c:pt>
              </c:strCache>
            </c:strRef>
          </c:cat>
          <c:val>
            <c:numRef>
              <c:f>Analysis!$B$11:$B$13</c:f>
              <c:numCache>
                <c:formatCode>General</c:formatCode>
                <c:ptCount val="2"/>
                <c:pt idx="0">
                  <c:v>1620000</c:v>
                </c:pt>
                <c:pt idx="1">
                  <c:v>873000</c:v>
                </c:pt>
              </c:numCache>
            </c:numRef>
          </c:val>
          <c:extLst>
            <c:ext xmlns:c16="http://schemas.microsoft.com/office/drawing/2014/chart" uri="{C3380CC4-5D6E-409C-BE32-E72D297353CC}">
              <c16:uniqueId val="{00000000-EDA2-44BC-AA98-FDD41F952F1B}"/>
            </c:ext>
          </c:extLst>
        </c:ser>
        <c:dLbls>
          <c:dLblPos val="outEnd"/>
          <c:showLegendKey val="0"/>
          <c:showVal val="1"/>
          <c:showCatName val="0"/>
          <c:showSerName val="0"/>
          <c:showPercent val="0"/>
          <c:showBubbleSize val="0"/>
        </c:dLbls>
        <c:gapWidth val="219"/>
        <c:overlap val="-27"/>
        <c:axId val="194117792"/>
        <c:axId val="194119872"/>
      </c:barChart>
      <c:catAx>
        <c:axId val="194117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4119872"/>
        <c:crosses val="autoZero"/>
        <c:auto val="1"/>
        <c:lblAlgn val="ctr"/>
        <c:lblOffset val="100"/>
        <c:noMultiLvlLbl val="0"/>
      </c:catAx>
      <c:valAx>
        <c:axId val="194119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baseline="0"/>
                  <a:t>Sales</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4117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[ECommerce_Sales_Analysis.xlsx]Analysis!Actual Sales vs Target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Actual Sales vs Target</a:t>
            </a:r>
            <a:br>
              <a:rPr lang="en-US" sz="1400" b="1" i="0" u="none" strike="noStrike" baseline="0"/>
            </a:br>
            <a:r>
              <a:rPr lang="en-US" sz="1400" b="1" i="0" u="none" strike="noStrike" baseline="0"/>
              <a:t>(January-March)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Analysis!$H$34</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Analysis!$G$35:$G$38</c:f>
              <c:strCache>
                <c:ptCount val="3"/>
                <c:pt idx="0">
                  <c:v>February</c:v>
                </c:pt>
                <c:pt idx="1">
                  <c:v>January</c:v>
                </c:pt>
                <c:pt idx="2">
                  <c:v>March</c:v>
                </c:pt>
              </c:strCache>
            </c:strRef>
          </c:cat>
          <c:val>
            <c:numRef>
              <c:f>Analysis!$H$35:$H$38</c:f>
              <c:numCache>
                <c:formatCode>General</c:formatCode>
                <c:ptCount val="3"/>
                <c:pt idx="0">
                  <c:v>250000</c:v>
                </c:pt>
                <c:pt idx="1">
                  <c:v>312500</c:v>
                </c:pt>
                <c:pt idx="2">
                  <c:v>300000</c:v>
                </c:pt>
              </c:numCache>
            </c:numRef>
          </c:val>
          <c:extLst>
            <c:ext xmlns:c16="http://schemas.microsoft.com/office/drawing/2014/chart" uri="{C3380CC4-5D6E-409C-BE32-E72D297353CC}">
              <c16:uniqueId val="{00000000-E9FF-4E8E-A89D-3AD1CD7DC3B1}"/>
            </c:ext>
          </c:extLst>
        </c:ser>
        <c:ser>
          <c:idx val="1"/>
          <c:order val="1"/>
          <c:tx>
            <c:strRef>
              <c:f>Analysis!$I$34</c:f>
              <c:strCache>
                <c:ptCount val="1"/>
                <c:pt idx="0">
                  <c:v>Sum of Target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Analysis!$G$35:$G$38</c:f>
              <c:strCache>
                <c:ptCount val="3"/>
                <c:pt idx="0">
                  <c:v>February</c:v>
                </c:pt>
                <c:pt idx="1">
                  <c:v>January</c:v>
                </c:pt>
                <c:pt idx="2">
                  <c:v>March</c:v>
                </c:pt>
              </c:strCache>
            </c:strRef>
          </c:cat>
          <c:val>
            <c:numRef>
              <c:f>Analysis!$I$35:$I$38</c:f>
              <c:numCache>
                <c:formatCode>General</c:formatCode>
                <c:ptCount val="3"/>
                <c:pt idx="0">
                  <c:v>330000</c:v>
                </c:pt>
                <c:pt idx="1">
                  <c:v>275000</c:v>
                </c:pt>
                <c:pt idx="2">
                  <c:v>370000</c:v>
                </c:pt>
              </c:numCache>
            </c:numRef>
          </c:val>
          <c:extLst>
            <c:ext xmlns:c16="http://schemas.microsoft.com/office/drawing/2014/chart" uri="{C3380CC4-5D6E-409C-BE32-E72D297353CC}">
              <c16:uniqueId val="{00000001-E9FF-4E8E-A89D-3AD1CD7DC3B1}"/>
            </c:ext>
          </c:extLst>
        </c:ser>
        <c:dLbls>
          <c:dLblPos val="outEnd"/>
          <c:showLegendKey val="0"/>
          <c:showVal val="1"/>
          <c:showCatName val="0"/>
          <c:showSerName val="0"/>
          <c:showPercent val="0"/>
          <c:showBubbleSize val="0"/>
        </c:dLbls>
        <c:gapWidth val="219"/>
        <c:overlap val="-27"/>
        <c:axId val="815504752"/>
        <c:axId val="815502672"/>
      </c:barChart>
      <c:catAx>
        <c:axId val="815504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15502672"/>
        <c:crosses val="autoZero"/>
        <c:auto val="1"/>
        <c:lblAlgn val="ctr"/>
        <c:lblOffset val="100"/>
        <c:noMultiLvlLbl val="0"/>
      </c:catAx>
      <c:valAx>
        <c:axId val="815502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Sales</a:t>
                </a:r>
                <a:r>
                  <a:rPr lang="en-US" b="1" baseline="0"/>
                  <a:t> &amp; Target Values</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1550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[ECommerce_Sales_Analysis.xlsx]Analysis!Sales by Channel</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Channel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Analysis!$A$35:$A$38</c:f>
              <c:strCache>
                <c:ptCount val="3"/>
                <c:pt idx="0">
                  <c:v>Store</c:v>
                </c:pt>
                <c:pt idx="1">
                  <c:v>Mobile App</c:v>
                </c:pt>
                <c:pt idx="2">
                  <c:v>Online</c:v>
                </c:pt>
              </c:strCache>
            </c:strRef>
          </c:cat>
          <c:val>
            <c:numRef>
              <c:f>Analysis!$B$35:$B$38</c:f>
              <c:numCache>
                <c:formatCode>General</c:formatCode>
                <c:ptCount val="3"/>
                <c:pt idx="0">
                  <c:v>411000</c:v>
                </c:pt>
                <c:pt idx="1">
                  <c:v>592500</c:v>
                </c:pt>
                <c:pt idx="2">
                  <c:v>1489500</c:v>
                </c:pt>
              </c:numCache>
            </c:numRef>
          </c:val>
          <c:extLst>
            <c:ext xmlns:c16="http://schemas.microsoft.com/office/drawing/2014/chart" uri="{C3380CC4-5D6E-409C-BE32-E72D297353CC}">
              <c16:uniqueId val="{00000000-9DAB-4FE4-A3EF-7ADACBB6C6BF}"/>
            </c:ext>
          </c:extLst>
        </c:ser>
        <c:dLbls>
          <c:dLblPos val="outEnd"/>
          <c:showLegendKey val="0"/>
          <c:showVal val="1"/>
          <c:showCatName val="0"/>
          <c:showSerName val="0"/>
          <c:showPercent val="0"/>
          <c:showBubbleSize val="0"/>
        </c:dLbls>
        <c:gapWidth val="182"/>
        <c:axId val="86635552"/>
        <c:axId val="86643456"/>
      </c:barChart>
      <c:catAx>
        <c:axId val="866355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Channel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6643456"/>
        <c:crosses val="autoZero"/>
        <c:auto val="1"/>
        <c:lblAlgn val="ctr"/>
        <c:lblOffset val="100"/>
        <c:noMultiLvlLbl val="0"/>
      </c:catAx>
      <c:valAx>
        <c:axId val="866434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6635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[ECommerce_Sales_Analysis.xlsx]Analysis!Sales by Region</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Analysis!$A$21:$A$25</c:f>
              <c:strCache>
                <c:ptCount val="4"/>
                <c:pt idx="0">
                  <c:v>East</c:v>
                </c:pt>
                <c:pt idx="1">
                  <c:v>North</c:v>
                </c:pt>
                <c:pt idx="2">
                  <c:v>South</c:v>
                </c:pt>
                <c:pt idx="3">
                  <c:v>West</c:v>
                </c:pt>
              </c:strCache>
            </c:strRef>
          </c:cat>
          <c:val>
            <c:numRef>
              <c:f>Analysis!$B$21:$B$25</c:f>
              <c:numCache>
                <c:formatCode>General</c:formatCode>
                <c:ptCount val="4"/>
                <c:pt idx="0">
                  <c:v>453000</c:v>
                </c:pt>
                <c:pt idx="1">
                  <c:v>925000</c:v>
                </c:pt>
                <c:pt idx="2">
                  <c:v>330000</c:v>
                </c:pt>
                <c:pt idx="3">
                  <c:v>785000</c:v>
                </c:pt>
              </c:numCache>
            </c:numRef>
          </c:val>
          <c:extLst>
            <c:ext xmlns:c16="http://schemas.microsoft.com/office/drawing/2014/chart" uri="{C3380CC4-5D6E-409C-BE32-E72D297353CC}">
              <c16:uniqueId val="{00000000-A6ED-435B-B33E-AEEEF580EBED}"/>
            </c:ext>
          </c:extLst>
        </c:ser>
        <c:dLbls>
          <c:dLblPos val="outEnd"/>
          <c:showLegendKey val="0"/>
          <c:showVal val="1"/>
          <c:showCatName val="0"/>
          <c:showSerName val="0"/>
          <c:showPercent val="0"/>
          <c:showBubbleSize val="0"/>
        </c:dLbls>
        <c:gapWidth val="182"/>
        <c:axId val="193925504"/>
        <c:axId val="193923008"/>
      </c:barChart>
      <c:catAx>
        <c:axId val="193925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3923008"/>
        <c:crosses val="autoZero"/>
        <c:auto val="1"/>
        <c:lblAlgn val="ctr"/>
        <c:lblOffset val="100"/>
        <c:noMultiLvlLbl val="0"/>
      </c:catAx>
      <c:valAx>
        <c:axId val="193923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baseline="0"/>
                  <a:t>Sales</a:t>
                </a:r>
                <a:endParaRPr lang="en-US" b="1"/>
              </a:p>
            </c:rich>
          </c:tx>
          <c:layout>
            <c:manualLayout>
              <c:xMode val="edge"/>
              <c:yMode val="edge"/>
              <c:x val="0.48244335083114609"/>
              <c:y val="0.88793963254593178"/>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3925504"/>
        <c:crosses val="autoZero"/>
        <c:crossBetween val="between"/>
      </c:valAx>
    </c:plotArea>
    <c:plotVisOnly val="1"/>
    <c:dispBlanksAs val="gap"/>
    <c:showDLblsOverMax val="0"/>
    <c:extLst/>
  </c:chart>
  <c:spPr>
    <a:ln>
      <a:solidFill>
        <a:schemeClr val="accent1">
          <a:lumMod val="60000"/>
          <a:lumOff val="40000"/>
        </a:schemeClr>
      </a:solidFill>
    </a:ln>
  </c:spPr>
  <c:txPr>
    <a:bodyPr/>
    <a:lstStyle/>
    <a:p>
      <a:pPr>
        <a:defRPr/>
      </a:pPr>
      <a:endParaRPr lang="en-PK"/>
    </a:p>
  </c:txPr>
  <c:printSettings>
    <c:headerFooter/>
    <c:pageMargins b="0.75" l="0.7" r="0.7" t="0.75" header="0.3" footer="0.3"/>
    <c:pageSetup/>
  </c:printSettings>
  <c:userShapes r:id="rId1"/>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[ECommerce_Sales_Analysis.xlsx]Analysis!Monthly Sales &amp; Profit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&amp;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Analysis!$H$10</c:f>
              <c:strCache>
                <c:ptCount val="1"/>
                <c:pt idx="0">
                  <c:v>Sum of Sales</c:v>
                </c:pt>
              </c:strCache>
            </c:strRef>
          </c:tx>
          <c:spPr>
            <a:ln w="28575" cap="rnd">
              <a:solidFill>
                <a:schemeClr val="accent1"/>
              </a:solidFill>
              <a:round/>
            </a:ln>
            <a:effectLst/>
          </c:spPr>
          <c:marker>
            <c:symbol val="none"/>
          </c:marker>
          <c:cat>
            <c:strRef>
              <c:f>Analysis!$G$11:$G$17</c:f>
              <c:strCache>
                <c:ptCount val="6"/>
                <c:pt idx="0">
                  <c:v>January</c:v>
                </c:pt>
                <c:pt idx="1">
                  <c:v>February</c:v>
                </c:pt>
                <c:pt idx="2">
                  <c:v>March</c:v>
                </c:pt>
                <c:pt idx="3">
                  <c:v>April</c:v>
                </c:pt>
                <c:pt idx="4">
                  <c:v>May</c:v>
                </c:pt>
                <c:pt idx="5">
                  <c:v>June</c:v>
                </c:pt>
              </c:strCache>
            </c:strRef>
          </c:cat>
          <c:val>
            <c:numRef>
              <c:f>Analysis!$H$11:$H$17</c:f>
              <c:numCache>
                <c:formatCode>General</c:formatCode>
                <c:ptCount val="6"/>
                <c:pt idx="0">
                  <c:v>397500</c:v>
                </c:pt>
                <c:pt idx="1">
                  <c:v>370000</c:v>
                </c:pt>
                <c:pt idx="2">
                  <c:v>479000</c:v>
                </c:pt>
                <c:pt idx="3">
                  <c:v>340000</c:v>
                </c:pt>
                <c:pt idx="4">
                  <c:v>477500</c:v>
                </c:pt>
                <c:pt idx="5">
                  <c:v>429000</c:v>
                </c:pt>
              </c:numCache>
            </c:numRef>
          </c:val>
          <c:smooth val="0"/>
          <c:extLst>
            <c:ext xmlns:c16="http://schemas.microsoft.com/office/drawing/2014/chart" uri="{C3380CC4-5D6E-409C-BE32-E72D297353CC}">
              <c16:uniqueId val="{00000000-201D-4FD9-80BD-CA4126578EA7}"/>
            </c:ext>
          </c:extLst>
        </c:ser>
        <c:ser>
          <c:idx val="1"/>
          <c:order val="1"/>
          <c:tx>
            <c:strRef>
              <c:f>Analysis!$I$10</c:f>
              <c:strCache>
                <c:ptCount val="1"/>
                <c:pt idx="0">
                  <c:v>Sum of Profit</c:v>
                </c:pt>
              </c:strCache>
            </c:strRef>
          </c:tx>
          <c:spPr>
            <a:ln w="28575" cap="rnd">
              <a:solidFill>
                <a:schemeClr val="accent2"/>
              </a:solidFill>
              <a:round/>
            </a:ln>
            <a:effectLst/>
          </c:spPr>
          <c:marker>
            <c:symbol val="none"/>
          </c:marker>
          <c:cat>
            <c:strRef>
              <c:f>Analysis!$G$11:$G$17</c:f>
              <c:strCache>
                <c:ptCount val="6"/>
                <c:pt idx="0">
                  <c:v>January</c:v>
                </c:pt>
                <c:pt idx="1">
                  <c:v>February</c:v>
                </c:pt>
                <c:pt idx="2">
                  <c:v>March</c:v>
                </c:pt>
                <c:pt idx="3">
                  <c:v>April</c:v>
                </c:pt>
                <c:pt idx="4">
                  <c:v>May</c:v>
                </c:pt>
                <c:pt idx="5">
                  <c:v>June</c:v>
                </c:pt>
              </c:strCache>
            </c:strRef>
          </c:cat>
          <c:val>
            <c:numRef>
              <c:f>Analysis!$I$11:$I$17</c:f>
              <c:numCache>
                <c:formatCode>General</c:formatCode>
                <c:ptCount val="6"/>
                <c:pt idx="0">
                  <c:v>114000</c:v>
                </c:pt>
                <c:pt idx="1">
                  <c:v>112000</c:v>
                </c:pt>
                <c:pt idx="2">
                  <c:v>139000</c:v>
                </c:pt>
                <c:pt idx="3">
                  <c:v>102500</c:v>
                </c:pt>
                <c:pt idx="4">
                  <c:v>139000</c:v>
                </c:pt>
                <c:pt idx="5">
                  <c:v>119000</c:v>
                </c:pt>
              </c:numCache>
            </c:numRef>
          </c:val>
          <c:smooth val="0"/>
          <c:extLst>
            <c:ext xmlns:c16="http://schemas.microsoft.com/office/drawing/2014/chart" uri="{C3380CC4-5D6E-409C-BE32-E72D297353CC}">
              <c16:uniqueId val="{00000001-201D-4FD9-80BD-CA4126578EA7}"/>
            </c:ext>
          </c:extLst>
        </c:ser>
        <c:dLbls>
          <c:showLegendKey val="0"/>
          <c:showVal val="0"/>
          <c:showCatName val="0"/>
          <c:showSerName val="0"/>
          <c:showPercent val="0"/>
          <c:showBubbleSize val="0"/>
        </c:dLbls>
        <c:smooth val="0"/>
        <c:axId val="576585360"/>
        <c:axId val="576588272"/>
      </c:lineChart>
      <c:catAx>
        <c:axId val="576585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76588272"/>
        <c:crosses val="autoZero"/>
        <c:auto val="1"/>
        <c:lblAlgn val="ctr"/>
        <c:lblOffset val="100"/>
        <c:noMultiLvlLbl val="0"/>
      </c:catAx>
      <c:valAx>
        <c:axId val="576588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Sales</a:t>
                </a:r>
                <a:r>
                  <a:rPr lang="en-US" b="1" baseline="0"/>
                  <a:t> &amp; Profit</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7658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[ECommerce_Sales_Analysis.xlsx]Analysis!Customer Sales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Customer by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Analysis!$G$21:$G$31</c:f>
              <c:strCache>
                <c:ptCount val="10"/>
                <c:pt idx="0">
                  <c:v>Bilal</c:v>
                </c:pt>
                <c:pt idx="1">
                  <c:v>Zara</c:v>
                </c:pt>
                <c:pt idx="2">
                  <c:v>Sara</c:v>
                </c:pt>
                <c:pt idx="3">
                  <c:v>Hamza</c:v>
                </c:pt>
                <c:pt idx="4">
                  <c:v>Usman</c:v>
                </c:pt>
                <c:pt idx="5">
                  <c:v>Ahmed</c:v>
                </c:pt>
                <c:pt idx="6">
                  <c:v>Maham</c:v>
                </c:pt>
                <c:pt idx="7">
                  <c:v>Ayesha</c:v>
                </c:pt>
                <c:pt idx="8">
                  <c:v>Ali</c:v>
                </c:pt>
                <c:pt idx="9">
                  <c:v>Hina</c:v>
                </c:pt>
              </c:strCache>
            </c:strRef>
          </c:cat>
          <c:val>
            <c:numRef>
              <c:f>Analysis!$H$21:$H$31</c:f>
              <c:numCache>
                <c:formatCode>General</c:formatCode>
                <c:ptCount val="10"/>
                <c:pt idx="0">
                  <c:v>82500</c:v>
                </c:pt>
                <c:pt idx="1">
                  <c:v>120000</c:v>
                </c:pt>
                <c:pt idx="2">
                  <c:v>127500</c:v>
                </c:pt>
                <c:pt idx="3">
                  <c:v>198000</c:v>
                </c:pt>
                <c:pt idx="4">
                  <c:v>255000</c:v>
                </c:pt>
                <c:pt idx="5">
                  <c:v>255000</c:v>
                </c:pt>
                <c:pt idx="6">
                  <c:v>270000</c:v>
                </c:pt>
                <c:pt idx="7">
                  <c:v>360000</c:v>
                </c:pt>
                <c:pt idx="8">
                  <c:v>400000</c:v>
                </c:pt>
                <c:pt idx="9">
                  <c:v>425000</c:v>
                </c:pt>
              </c:numCache>
            </c:numRef>
          </c:val>
          <c:extLst>
            <c:ext xmlns:c16="http://schemas.microsoft.com/office/drawing/2014/chart" uri="{C3380CC4-5D6E-409C-BE32-E72D297353CC}">
              <c16:uniqueId val="{00000000-05FF-463B-B82A-DF4B971DFD16}"/>
            </c:ext>
          </c:extLst>
        </c:ser>
        <c:dLbls>
          <c:dLblPos val="outEnd"/>
          <c:showLegendKey val="0"/>
          <c:showVal val="1"/>
          <c:showCatName val="0"/>
          <c:showSerName val="0"/>
          <c:showPercent val="0"/>
          <c:showBubbleSize val="0"/>
        </c:dLbls>
        <c:gapWidth val="182"/>
        <c:axId val="624021792"/>
        <c:axId val="624031776"/>
      </c:barChart>
      <c:catAx>
        <c:axId val="624021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Customer</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24031776"/>
        <c:crosses val="autoZero"/>
        <c:auto val="1"/>
        <c:lblAlgn val="ctr"/>
        <c:lblOffset val="100"/>
        <c:noMultiLvlLbl val="0"/>
      </c:catAx>
      <c:valAx>
        <c:axId val="6240317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24021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[ECommerce_Sales_Analysis.xlsx]Analysis!Product Quantity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Sales Volume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Analysis!$D$21:$D$29</c:f>
              <c:strCache>
                <c:ptCount val="8"/>
                <c:pt idx="0">
                  <c:v>Monitor</c:v>
                </c:pt>
                <c:pt idx="1">
                  <c:v>Bookshelf</c:v>
                </c:pt>
                <c:pt idx="2">
                  <c:v>Desk</c:v>
                </c:pt>
                <c:pt idx="3">
                  <c:v>Office Chair</c:v>
                </c:pt>
                <c:pt idx="4">
                  <c:v>Laptop</c:v>
                </c:pt>
                <c:pt idx="5">
                  <c:v>Headphones</c:v>
                </c:pt>
                <c:pt idx="6">
                  <c:v>Keyboard</c:v>
                </c:pt>
                <c:pt idx="7">
                  <c:v>Mouse</c:v>
                </c:pt>
              </c:strCache>
            </c:strRef>
          </c:cat>
          <c:val>
            <c:numRef>
              <c:f>Analysis!$E$21:$E$29</c:f>
              <c:numCache>
                <c:formatCode>General</c:formatCode>
                <c:ptCount val="8"/>
                <c:pt idx="0">
                  <c:v>9</c:v>
                </c:pt>
                <c:pt idx="1">
                  <c:v>9</c:v>
                </c:pt>
                <c:pt idx="2">
                  <c:v>11</c:v>
                </c:pt>
                <c:pt idx="3">
                  <c:v>12</c:v>
                </c:pt>
                <c:pt idx="4">
                  <c:v>16</c:v>
                </c:pt>
                <c:pt idx="5">
                  <c:v>20</c:v>
                </c:pt>
                <c:pt idx="6">
                  <c:v>26</c:v>
                </c:pt>
                <c:pt idx="7">
                  <c:v>38</c:v>
                </c:pt>
              </c:numCache>
            </c:numRef>
          </c:val>
          <c:extLst>
            <c:ext xmlns:c16="http://schemas.microsoft.com/office/drawing/2014/chart" uri="{C3380CC4-5D6E-409C-BE32-E72D297353CC}">
              <c16:uniqueId val="{00000000-7725-43B2-89EC-15E72AE63E04}"/>
            </c:ext>
          </c:extLst>
        </c:ser>
        <c:dLbls>
          <c:dLblPos val="outEnd"/>
          <c:showLegendKey val="0"/>
          <c:showVal val="1"/>
          <c:showCatName val="0"/>
          <c:showSerName val="0"/>
          <c:showPercent val="0"/>
          <c:showBubbleSize val="0"/>
        </c:dLbls>
        <c:gapWidth val="182"/>
        <c:axId val="578929344"/>
        <c:axId val="578929760"/>
      </c:barChart>
      <c:catAx>
        <c:axId val="5789293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78929760"/>
        <c:crosses val="autoZero"/>
        <c:auto val="1"/>
        <c:lblAlgn val="ctr"/>
        <c:lblOffset val="100"/>
        <c:noMultiLvlLbl val="0"/>
      </c:catAx>
      <c:valAx>
        <c:axId val="5789297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7892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[ECommerce_Sales_Analysis.xlsx]Analysis!Sales by Category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Analysis!$A$11:$A$13</c:f>
              <c:strCache>
                <c:ptCount val="2"/>
                <c:pt idx="0">
                  <c:v>Electronics</c:v>
                </c:pt>
                <c:pt idx="1">
                  <c:v>Furniture</c:v>
                </c:pt>
              </c:strCache>
            </c:strRef>
          </c:cat>
          <c:val>
            <c:numRef>
              <c:f>Analysis!$B$11:$B$13</c:f>
              <c:numCache>
                <c:formatCode>General</c:formatCode>
                <c:ptCount val="2"/>
                <c:pt idx="0">
                  <c:v>1620000</c:v>
                </c:pt>
                <c:pt idx="1">
                  <c:v>873000</c:v>
                </c:pt>
              </c:numCache>
            </c:numRef>
          </c:val>
          <c:extLst>
            <c:ext xmlns:c16="http://schemas.microsoft.com/office/drawing/2014/chart" uri="{C3380CC4-5D6E-409C-BE32-E72D297353CC}">
              <c16:uniqueId val="{00000000-403A-4521-B4CE-90EE8976DA21}"/>
            </c:ext>
          </c:extLst>
        </c:ser>
        <c:dLbls>
          <c:dLblPos val="outEnd"/>
          <c:showLegendKey val="0"/>
          <c:showVal val="1"/>
          <c:showCatName val="0"/>
          <c:showSerName val="0"/>
          <c:showPercent val="0"/>
          <c:showBubbleSize val="0"/>
        </c:dLbls>
        <c:gapWidth val="219"/>
        <c:overlap val="-27"/>
        <c:axId val="194117792"/>
        <c:axId val="194119872"/>
      </c:barChart>
      <c:catAx>
        <c:axId val="194117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Category</a:t>
                </a:r>
              </a:p>
            </c:rich>
          </c:tx>
          <c:layout>
            <c:manualLayout>
              <c:xMode val="edge"/>
              <c:yMode val="edge"/>
              <c:x val="0.44379984982030324"/>
              <c:y val="0.873341510703121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4119872"/>
        <c:crosses val="autoZero"/>
        <c:auto val="1"/>
        <c:lblAlgn val="ctr"/>
        <c:lblOffset val="100"/>
        <c:noMultiLvlLbl val="0"/>
      </c:catAx>
      <c:valAx>
        <c:axId val="194119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baseline="0"/>
                  <a:t>Sales</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4117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[ECommerce_Sales_Analysis.xlsx]Analysis!Sales by Region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b="1"/>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Analysis!$A$21:$A$25</c:f>
              <c:strCache>
                <c:ptCount val="4"/>
                <c:pt idx="0">
                  <c:v>East</c:v>
                </c:pt>
                <c:pt idx="1">
                  <c:v>North</c:v>
                </c:pt>
                <c:pt idx="2">
                  <c:v>South</c:v>
                </c:pt>
                <c:pt idx="3">
                  <c:v>West</c:v>
                </c:pt>
              </c:strCache>
            </c:strRef>
          </c:cat>
          <c:val>
            <c:numRef>
              <c:f>Analysis!$B$21:$B$25</c:f>
              <c:numCache>
                <c:formatCode>General</c:formatCode>
                <c:ptCount val="4"/>
                <c:pt idx="0">
                  <c:v>453000</c:v>
                </c:pt>
                <c:pt idx="1">
                  <c:v>925000</c:v>
                </c:pt>
                <c:pt idx="2">
                  <c:v>330000</c:v>
                </c:pt>
                <c:pt idx="3">
                  <c:v>785000</c:v>
                </c:pt>
              </c:numCache>
            </c:numRef>
          </c:val>
          <c:extLst>
            <c:ext xmlns:c16="http://schemas.microsoft.com/office/drawing/2014/chart" uri="{C3380CC4-5D6E-409C-BE32-E72D297353CC}">
              <c16:uniqueId val="{00000003-14F6-4758-9B52-74D58A257DE4}"/>
            </c:ext>
          </c:extLst>
        </c:ser>
        <c:dLbls>
          <c:dLblPos val="outEnd"/>
          <c:showLegendKey val="0"/>
          <c:showVal val="1"/>
          <c:showCatName val="0"/>
          <c:showSerName val="0"/>
          <c:showPercent val="0"/>
          <c:showBubbleSize val="0"/>
        </c:dLbls>
        <c:gapWidth val="182"/>
        <c:axId val="193925504"/>
        <c:axId val="193923008"/>
      </c:barChart>
      <c:catAx>
        <c:axId val="193925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3923008"/>
        <c:crosses val="autoZero"/>
        <c:auto val="1"/>
        <c:lblAlgn val="ctr"/>
        <c:lblOffset val="100"/>
        <c:noMultiLvlLbl val="0"/>
      </c:catAx>
      <c:valAx>
        <c:axId val="1939230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baseline="0"/>
                  <a:t>Sales</a:t>
                </a:r>
                <a:endParaRPr lang="en-US" b="1"/>
              </a:p>
            </c:rich>
          </c:tx>
          <c:layout>
            <c:manualLayout>
              <c:xMode val="edge"/>
              <c:yMode val="edge"/>
              <c:x val="0.48244335083114609"/>
              <c:y val="0.88793963254593178"/>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3925504"/>
        <c:crosses val="autoZero"/>
        <c:crossBetween val="between"/>
      </c:valAx>
    </c:plotArea>
    <c:plotVisOnly val="1"/>
    <c:dispBlanksAs val="gap"/>
    <c:showDLblsOverMax val="0"/>
    <c:extLst/>
  </c:chart>
  <c:spPr>
    <a:ln>
      <a:solidFill>
        <a:schemeClr val="accent1">
          <a:lumMod val="40000"/>
          <a:lumOff val="60000"/>
        </a:schemeClr>
      </a:solidFill>
    </a:ln>
  </c:spPr>
  <c:txPr>
    <a:bodyPr/>
    <a:lstStyle/>
    <a:p>
      <a:pPr>
        <a:defRPr/>
      </a:pPr>
      <a:endParaRPr lang="en-PK"/>
    </a:p>
  </c:txPr>
  <c:printSettings>
    <c:headerFooter/>
    <c:pageMargins b="0.75" l="0.7" r="0.7" t="0.75" header="0.3" footer="0.3"/>
    <c:pageSetup/>
  </c:printSettings>
  <c:userShapes r:id="rId1"/>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[ECommerce_Sales_Analysis.xlsx]Analysis!Sales by Channel</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Channel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Analysis!$A$35:$A$38</c:f>
              <c:strCache>
                <c:ptCount val="3"/>
                <c:pt idx="0">
                  <c:v>Store</c:v>
                </c:pt>
                <c:pt idx="1">
                  <c:v>Mobile App</c:v>
                </c:pt>
                <c:pt idx="2">
                  <c:v>Online</c:v>
                </c:pt>
              </c:strCache>
            </c:strRef>
          </c:cat>
          <c:val>
            <c:numRef>
              <c:f>Analysis!$B$35:$B$38</c:f>
              <c:numCache>
                <c:formatCode>General</c:formatCode>
                <c:ptCount val="3"/>
                <c:pt idx="0">
                  <c:v>411000</c:v>
                </c:pt>
                <c:pt idx="1">
                  <c:v>592500</c:v>
                </c:pt>
                <c:pt idx="2">
                  <c:v>1489500</c:v>
                </c:pt>
              </c:numCache>
            </c:numRef>
          </c:val>
          <c:extLst>
            <c:ext xmlns:c16="http://schemas.microsoft.com/office/drawing/2014/chart" uri="{C3380CC4-5D6E-409C-BE32-E72D297353CC}">
              <c16:uniqueId val="{00000000-4365-42FE-9A52-9EFDDF97F033}"/>
            </c:ext>
          </c:extLst>
        </c:ser>
        <c:dLbls>
          <c:dLblPos val="outEnd"/>
          <c:showLegendKey val="0"/>
          <c:showVal val="1"/>
          <c:showCatName val="0"/>
          <c:showSerName val="0"/>
          <c:showPercent val="0"/>
          <c:showBubbleSize val="0"/>
        </c:dLbls>
        <c:gapWidth val="182"/>
        <c:axId val="86635552"/>
        <c:axId val="86643456"/>
      </c:barChart>
      <c:catAx>
        <c:axId val="866355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Channel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6643456"/>
        <c:crosses val="autoZero"/>
        <c:auto val="1"/>
        <c:lblAlgn val="ctr"/>
        <c:lblOffset val="100"/>
        <c:noMultiLvlLbl val="0"/>
      </c:catAx>
      <c:valAx>
        <c:axId val="866434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86635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[ECommerce_Sales_Analysis.xlsx]Analysis!Monthly Sales &amp; Profit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&amp;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Analysis!$H$10</c:f>
              <c:strCache>
                <c:ptCount val="1"/>
                <c:pt idx="0">
                  <c:v>Sum of Sales</c:v>
                </c:pt>
              </c:strCache>
            </c:strRef>
          </c:tx>
          <c:spPr>
            <a:ln w="28575" cap="rnd">
              <a:solidFill>
                <a:schemeClr val="accent1"/>
              </a:solidFill>
              <a:round/>
            </a:ln>
            <a:effectLst/>
          </c:spPr>
          <c:marker>
            <c:symbol val="none"/>
          </c:marker>
          <c:cat>
            <c:strRef>
              <c:f>Analysis!$G$11:$G$17</c:f>
              <c:strCache>
                <c:ptCount val="6"/>
                <c:pt idx="0">
                  <c:v>January</c:v>
                </c:pt>
                <c:pt idx="1">
                  <c:v>February</c:v>
                </c:pt>
                <c:pt idx="2">
                  <c:v>March</c:v>
                </c:pt>
                <c:pt idx="3">
                  <c:v>April</c:v>
                </c:pt>
                <c:pt idx="4">
                  <c:v>May</c:v>
                </c:pt>
                <c:pt idx="5">
                  <c:v>June</c:v>
                </c:pt>
              </c:strCache>
            </c:strRef>
          </c:cat>
          <c:val>
            <c:numRef>
              <c:f>Analysis!$H$11:$H$17</c:f>
              <c:numCache>
                <c:formatCode>General</c:formatCode>
                <c:ptCount val="6"/>
                <c:pt idx="0">
                  <c:v>397500</c:v>
                </c:pt>
                <c:pt idx="1">
                  <c:v>370000</c:v>
                </c:pt>
                <c:pt idx="2">
                  <c:v>479000</c:v>
                </c:pt>
                <c:pt idx="3">
                  <c:v>340000</c:v>
                </c:pt>
                <c:pt idx="4">
                  <c:v>477500</c:v>
                </c:pt>
                <c:pt idx="5">
                  <c:v>429000</c:v>
                </c:pt>
              </c:numCache>
            </c:numRef>
          </c:val>
          <c:smooth val="0"/>
          <c:extLst>
            <c:ext xmlns:c16="http://schemas.microsoft.com/office/drawing/2014/chart" uri="{C3380CC4-5D6E-409C-BE32-E72D297353CC}">
              <c16:uniqueId val="{00000000-A9F1-466A-ACE7-54652F045439}"/>
            </c:ext>
          </c:extLst>
        </c:ser>
        <c:ser>
          <c:idx val="1"/>
          <c:order val="1"/>
          <c:tx>
            <c:strRef>
              <c:f>Analysis!$I$10</c:f>
              <c:strCache>
                <c:ptCount val="1"/>
                <c:pt idx="0">
                  <c:v>Sum of Profit</c:v>
                </c:pt>
              </c:strCache>
            </c:strRef>
          </c:tx>
          <c:spPr>
            <a:ln w="28575" cap="rnd">
              <a:solidFill>
                <a:schemeClr val="accent2"/>
              </a:solidFill>
              <a:round/>
            </a:ln>
            <a:effectLst/>
          </c:spPr>
          <c:marker>
            <c:symbol val="none"/>
          </c:marker>
          <c:cat>
            <c:strRef>
              <c:f>Analysis!$G$11:$G$17</c:f>
              <c:strCache>
                <c:ptCount val="6"/>
                <c:pt idx="0">
                  <c:v>January</c:v>
                </c:pt>
                <c:pt idx="1">
                  <c:v>February</c:v>
                </c:pt>
                <c:pt idx="2">
                  <c:v>March</c:v>
                </c:pt>
                <c:pt idx="3">
                  <c:v>April</c:v>
                </c:pt>
                <c:pt idx="4">
                  <c:v>May</c:v>
                </c:pt>
                <c:pt idx="5">
                  <c:v>June</c:v>
                </c:pt>
              </c:strCache>
            </c:strRef>
          </c:cat>
          <c:val>
            <c:numRef>
              <c:f>Analysis!$I$11:$I$17</c:f>
              <c:numCache>
                <c:formatCode>General</c:formatCode>
                <c:ptCount val="6"/>
                <c:pt idx="0">
                  <c:v>114000</c:v>
                </c:pt>
                <c:pt idx="1">
                  <c:v>112000</c:v>
                </c:pt>
                <c:pt idx="2">
                  <c:v>139000</c:v>
                </c:pt>
                <c:pt idx="3">
                  <c:v>102500</c:v>
                </c:pt>
                <c:pt idx="4">
                  <c:v>139000</c:v>
                </c:pt>
                <c:pt idx="5">
                  <c:v>119000</c:v>
                </c:pt>
              </c:numCache>
            </c:numRef>
          </c:val>
          <c:smooth val="0"/>
          <c:extLst>
            <c:ext xmlns:c16="http://schemas.microsoft.com/office/drawing/2014/chart" uri="{C3380CC4-5D6E-409C-BE32-E72D297353CC}">
              <c16:uniqueId val="{00000001-A9F1-466A-ACE7-54652F045439}"/>
            </c:ext>
          </c:extLst>
        </c:ser>
        <c:dLbls>
          <c:showLegendKey val="0"/>
          <c:showVal val="0"/>
          <c:showCatName val="0"/>
          <c:showSerName val="0"/>
          <c:showPercent val="0"/>
          <c:showBubbleSize val="0"/>
        </c:dLbls>
        <c:smooth val="0"/>
        <c:axId val="576585360"/>
        <c:axId val="576588272"/>
      </c:lineChart>
      <c:catAx>
        <c:axId val="576585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76588272"/>
        <c:crosses val="autoZero"/>
        <c:auto val="1"/>
        <c:lblAlgn val="ctr"/>
        <c:lblOffset val="100"/>
        <c:noMultiLvlLbl val="0"/>
      </c:catAx>
      <c:valAx>
        <c:axId val="576588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Sales</a:t>
                </a:r>
                <a:r>
                  <a:rPr lang="en-US" b="1" baseline="0"/>
                  <a:t> &amp; Profit</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7658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43315</xdr:colOff>
      <xdr:row>7</xdr:row>
      <xdr:rowOff>167822</xdr:rowOff>
    </xdr:from>
    <xdr:to>
      <xdr:col>15</xdr:col>
      <xdr:colOff>603250</xdr:colOff>
      <xdr:row>22</xdr:row>
      <xdr:rowOff>151493</xdr:rowOff>
    </xdr:to>
    <xdr:graphicFrame macro="">
      <xdr:nvGraphicFramePr>
        <xdr:cNvPr id="3" name="Chart 2">
          <a:extLst>
            <a:ext uri="{FF2B5EF4-FFF2-40B4-BE49-F238E27FC236}">
              <a16:creationId xmlns:a16="http://schemas.microsoft.com/office/drawing/2014/main" id="{03CD654A-3890-4B92-9C4B-9C4920421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xdr:colOff>
      <xdr:row>8</xdr:row>
      <xdr:rowOff>9072</xdr:rowOff>
    </xdr:from>
    <xdr:to>
      <xdr:col>2</xdr:col>
      <xdr:colOff>308430</xdr:colOff>
      <xdr:row>16</xdr:row>
      <xdr:rowOff>54429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803058D8-628A-4337-A59A-65BB3ED169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 y="1501322"/>
              <a:ext cx="1530804" cy="1505857"/>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xdr:colOff>
      <xdr:row>23</xdr:row>
      <xdr:rowOff>15875</xdr:rowOff>
    </xdr:from>
    <xdr:to>
      <xdr:col>2</xdr:col>
      <xdr:colOff>285750</xdr:colOff>
      <xdr:row>29</xdr:row>
      <xdr:rowOff>19504</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BD550E1D-CE5D-46E8-B790-8D231DF7A6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812" y="4246563"/>
              <a:ext cx="1524000" cy="109900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83156</xdr:rowOff>
    </xdr:from>
    <xdr:to>
      <xdr:col>2</xdr:col>
      <xdr:colOff>317499</xdr:colOff>
      <xdr:row>22</xdr:row>
      <xdr:rowOff>169334</xdr:rowOff>
    </xdr:to>
    <mc:AlternateContent xmlns:mc="http://schemas.openxmlformats.org/markup-compatibility/2006" xmlns:a14="http://schemas.microsoft.com/office/drawing/2010/main">
      <mc:Choice Requires="a14">
        <xdr:graphicFrame macro="">
          <xdr:nvGraphicFramePr>
            <xdr:cNvPr id="9" name="Channel">
              <a:extLst>
                <a:ext uri="{FF2B5EF4-FFF2-40B4-BE49-F238E27FC236}">
                  <a16:creationId xmlns:a16="http://schemas.microsoft.com/office/drawing/2014/main" id="{2C93AF09-B007-47F9-84C6-92B27AA3E2B5}"/>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0" y="3004156"/>
              <a:ext cx="1545166" cy="116567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370416</xdr:colOff>
      <xdr:row>38</xdr:row>
      <xdr:rowOff>21168</xdr:rowOff>
    </xdr:from>
    <xdr:to>
      <xdr:col>9</xdr:col>
      <xdr:colOff>25399</xdr:colOff>
      <xdr:row>53</xdr:row>
      <xdr:rowOff>31750</xdr:rowOff>
    </xdr:to>
    <xdr:graphicFrame macro="">
      <xdr:nvGraphicFramePr>
        <xdr:cNvPr id="11" name="Chart 10">
          <a:extLst>
            <a:ext uri="{FF2B5EF4-FFF2-40B4-BE49-F238E27FC236}">
              <a16:creationId xmlns:a16="http://schemas.microsoft.com/office/drawing/2014/main" id="{0DCF0997-A97A-439C-B6BA-BC26972C8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21167</xdr:colOff>
      <xdr:row>38</xdr:row>
      <xdr:rowOff>10583</xdr:rowOff>
    </xdr:from>
    <xdr:to>
      <xdr:col>22</xdr:col>
      <xdr:colOff>582084</xdr:colOff>
      <xdr:row>53</xdr:row>
      <xdr:rowOff>32354</xdr:rowOff>
    </xdr:to>
    <xdr:graphicFrame macro="">
      <xdr:nvGraphicFramePr>
        <xdr:cNvPr id="12" name="Chart 11">
          <a:extLst>
            <a:ext uri="{FF2B5EF4-FFF2-40B4-BE49-F238E27FC236}">
              <a16:creationId xmlns:a16="http://schemas.microsoft.com/office/drawing/2014/main" id="{39AF0A93-1AE2-43DA-968C-0226134DB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381000</xdr:colOff>
      <xdr:row>7</xdr:row>
      <xdr:rowOff>169333</xdr:rowOff>
    </xdr:from>
    <xdr:to>
      <xdr:col>9</xdr:col>
      <xdr:colOff>10583</xdr:colOff>
      <xdr:row>22</xdr:row>
      <xdr:rowOff>148167</xdr:rowOff>
    </xdr:to>
    <xdr:graphicFrame macro="">
      <xdr:nvGraphicFramePr>
        <xdr:cNvPr id="13" name="Chart 12">
          <a:extLst>
            <a:ext uri="{FF2B5EF4-FFF2-40B4-BE49-F238E27FC236}">
              <a16:creationId xmlns:a16="http://schemas.microsoft.com/office/drawing/2014/main" id="{56281253-86F5-4B6C-A556-0754DA6F2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370416</xdr:colOff>
      <xdr:row>23</xdr:row>
      <xdr:rowOff>10582</xdr:rowOff>
    </xdr:from>
    <xdr:to>
      <xdr:col>22</xdr:col>
      <xdr:colOff>582083</xdr:colOff>
      <xdr:row>37</xdr:row>
      <xdr:rowOff>169937</xdr:rowOff>
    </xdr:to>
    <xdr:graphicFrame macro="">
      <xdr:nvGraphicFramePr>
        <xdr:cNvPr id="14" name="Chart 13">
          <a:extLst>
            <a:ext uri="{FF2B5EF4-FFF2-40B4-BE49-F238E27FC236}">
              <a16:creationId xmlns:a16="http://schemas.microsoft.com/office/drawing/2014/main" id="{6E2D298D-FF2F-4E95-8791-867DB5F51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42333</xdr:colOff>
      <xdr:row>38</xdr:row>
      <xdr:rowOff>10583</xdr:rowOff>
    </xdr:from>
    <xdr:to>
      <xdr:col>15</xdr:col>
      <xdr:colOff>592667</xdr:colOff>
      <xdr:row>53</xdr:row>
      <xdr:rowOff>55033</xdr:rowOff>
    </xdr:to>
    <xdr:graphicFrame macro="">
      <xdr:nvGraphicFramePr>
        <xdr:cNvPr id="15" name="Chart 14">
          <a:extLst>
            <a:ext uri="{FF2B5EF4-FFF2-40B4-BE49-F238E27FC236}">
              <a16:creationId xmlns:a16="http://schemas.microsoft.com/office/drawing/2014/main" id="{C85D0759-9862-4604-A412-48D878707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21167</xdr:colOff>
      <xdr:row>7</xdr:row>
      <xdr:rowOff>158749</xdr:rowOff>
    </xdr:from>
    <xdr:to>
      <xdr:col>22</xdr:col>
      <xdr:colOff>592666</xdr:colOff>
      <xdr:row>22</xdr:row>
      <xdr:rowOff>160866</xdr:rowOff>
    </xdr:to>
    <xdr:graphicFrame macro="">
      <xdr:nvGraphicFramePr>
        <xdr:cNvPr id="16" name="Chart 15">
          <a:extLst>
            <a:ext uri="{FF2B5EF4-FFF2-40B4-BE49-F238E27FC236}">
              <a16:creationId xmlns:a16="http://schemas.microsoft.com/office/drawing/2014/main" id="{C924E25E-178B-4FDB-AEFC-A94FBD42A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0.33333</cdr:x>
      <cdr:y>0.02976</cdr:y>
    </cdr:from>
    <cdr:to>
      <cdr:x>0.6787</cdr:x>
      <cdr:y>0.16088</cdr:y>
    </cdr:to>
    <cdr:pic>
      <cdr:nvPicPr>
        <cdr:cNvPr id="2" name="chart">
          <a:extLst xmlns:a="http://schemas.openxmlformats.org/drawingml/2006/main">
            <a:ext uri="{FF2B5EF4-FFF2-40B4-BE49-F238E27FC236}">
              <a16:creationId xmlns:a16="http://schemas.microsoft.com/office/drawing/2014/main" id="{9ABBAE98-91F1-49F2-A4C0-30ADF055818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524000" y="81643"/>
          <a:ext cx="1579001" cy="359695"/>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editAs="oneCell">
    <xdr:from>
      <xdr:col>3</xdr:col>
      <xdr:colOff>152400</xdr:colOff>
      <xdr:row>8</xdr:row>
      <xdr:rowOff>6350</xdr:rowOff>
    </xdr:from>
    <xdr:to>
      <xdr:col>5</xdr:col>
      <xdr:colOff>438604</xdr:colOff>
      <xdr:row>16</xdr:row>
      <xdr:rowOff>39006</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1EE94859-7FE9-4BBC-A9C2-AE2B3D4DA73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75757" y="1494064"/>
              <a:ext cx="1501776" cy="148408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146050</xdr:colOff>
      <xdr:row>8</xdr:row>
      <xdr:rowOff>9072</xdr:rowOff>
    </xdr:from>
    <xdr:to>
      <xdr:col>10</xdr:col>
      <xdr:colOff>450850</xdr:colOff>
      <xdr:row>16</xdr:row>
      <xdr:rowOff>38099</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8B501168-A32A-40F1-88FE-2A4D608CBB9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008336" y="1496786"/>
              <a:ext cx="1520371" cy="1480456"/>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450850</xdr:colOff>
      <xdr:row>8</xdr:row>
      <xdr:rowOff>6350</xdr:rowOff>
    </xdr:from>
    <xdr:to>
      <xdr:col>8</xdr:col>
      <xdr:colOff>139246</xdr:colOff>
      <xdr:row>16</xdr:row>
      <xdr:rowOff>44449</xdr:rowOff>
    </xdr:to>
    <mc:AlternateContent xmlns:mc="http://schemas.openxmlformats.org/markup-compatibility/2006" xmlns:a14="http://schemas.microsoft.com/office/drawing/2010/main">
      <mc:Choice Requires="a14">
        <xdr:graphicFrame macro="">
          <xdr:nvGraphicFramePr>
            <xdr:cNvPr id="4" name="Channel 1">
              <a:extLst>
                <a:ext uri="{FF2B5EF4-FFF2-40B4-BE49-F238E27FC236}">
                  <a16:creationId xmlns:a16="http://schemas.microsoft.com/office/drawing/2014/main" id="{7BCC8F52-439F-46FF-A8DB-3575C11B1A4A}"/>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3489779" y="1494064"/>
              <a:ext cx="1511753" cy="148952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482600</xdr:colOff>
      <xdr:row>17</xdr:row>
      <xdr:rowOff>12701</xdr:rowOff>
    </xdr:from>
    <xdr:to>
      <xdr:col>13</xdr:col>
      <xdr:colOff>313872</xdr:colOff>
      <xdr:row>31</xdr:row>
      <xdr:rowOff>1</xdr:rowOff>
    </xdr:to>
    <xdr:graphicFrame macro="">
      <xdr:nvGraphicFramePr>
        <xdr:cNvPr id="6" name="Chart 5">
          <a:extLst>
            <a:ext uri="{FF2B5EF4-FFF2-40B4-BE49-F238E27FC236}">
              <a16:creationId xmlns:a16="http://schemas.microsoft.com/office/drawing/2014/main" id="{97194202-9A56-4883-9010-7A2285FB6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45357</xdr:colOff>
      <xdr:row>17</xdr:row>
      <xdr:rowOff>18143</xdr:rowOff>
    </xdr:from>
    <xdr:to>
      <xdr:col>6</xdr:col>
      <xdr:colOff>453572</xdr:colOff>
      <xdr:row>30</xdr:row>
      <xdr:rowOff>175985</xdr:rowOff>
    </xdr:to>
    <xdr:graphicFrame macro="">
      <xdr:nvGraphicFramePr>
        <xdr:cNvPr id="9" name="Chart 8">
          <a:extLst>
            <a:ext uri="{FF2B5EF4-FFF2-40B4-BE49-F238E27FC236}">
              <a16:creationId xmlns:a16="http://schemas.microsoft.com/office/drawing/2014/main" id="{2D6DBD82-3893-46F0-ADE3-120727752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489857</xdr:colOff>
      <xdr:row>31</xdr:row>
      <xdr:rowOff>27215</xdr:rowOff>
    </xdr:from>
    <xdr:to>
      <xdr:col>13</xdr:col>
      <xdr:colOff>308429</xdr:colOff>
      <xdr:row>46</xdr:row>
      <xdr:rowOff>48986</xdr:rowOff>
    </xdr:to>
    <xdr:graphicFrame macro="">
      <xdr:nvGraphicFramePr>
        <xdr:cNvPr id="10" name="Chart 9">
          <a:extLst>
            <a:ext uri="{FF2B5EF4-FFF2-40B4-BE49-F238E27FC236}">
              <a16:creationId xmlns:a16="http://schemas.microsoft.com/office/drawing/2014/main" id="{112B8409-FAD0-43FB-8EA8-EC94460DB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45357</xdr:colOff>
      <xdr:row>31</xdr:row>
      <xdr:rowOff>27216</xdr:rowOff>
    </xdr:from>
    <xdr:to>
      <xdr:col>6</xdr:col>
      <xdr:colOff>462643</xdr:colOff>
      <xdr:row>46</xdr:row>
      <xdr:rowOff>48987</xdr:rowOff>
    </xdr:to>
    <xdr:graphicFrame macro="">
      <xdr:nvGraphicFramePr>
        <xdr:cNvPr id="11" name="Chart 10">
          <a:extLst>
            <a:ext uri="{FF2B5EF4-FFF2-40B4-BE49-F238E27FC236}">
              <a16:creationId xmlns:a16="http://schemas.microsoft.com/office/drawing/2014/main" id="{345FFB90-B3FD-4E6D-A0E9-C64DABA02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0.33333</cdr:x>
      <cdr:y>0.02976</cdr:y>
    </cdr:from>
    <cdr:to>
      <cdr:x>0.6787</cdr:x>
      <cdr:y>0.16088</cdr:y>
    </cdr:to>
    <cdr:pic>
      <cdr:nvPicPr>
        <cdr:cNvPr id="2" name="chart">
          <a:extLst xmlns:a="http://schemas.openxmlformats.org/drawingml/2006/main">
            <a:ext uri="{FF2B5EF4-FFF2-40B4-BE49-F238E27FC236}">
              <a16:creationId xmlns:a16="http://schemas.microsoft.com/office/drawing/2014/main" id="{9ABBAE98-91F1-49F2-A4C0-30ADF055818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524000" y="81643"/>
          <a:ext cx="1579001" cy="359695"/>
        </a:xfrm>
        <a:prstGeom xmlns:a="http://schemas.openxmlformats.org/drawingml/2006/main" prst="rect">
          <a:avLst/>
        </a:prstGeom>
      </cdr:spPr>
    </cdr:pic>
  </cdr:relSizeAnchor>
</c:userShape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Qadeer" refreshedDate="46282.873226967589" backgroundQuery="1" createdVersion="7" refreshedVersion="7" minRefreshableVersion="3" recordCount="0" supportSubquery="1" supportAdvancedDrill="1" xr:uid="{5FE0C55A-F9F3-4CBD-B01C-24FF72010BB9}">
  <cacheSource type="external" connectionId="4"/>
  <cacheFields count="4">
    <cacheField name="[Measures].[Sum of Sales]" caption="Sum of Sales" numFmtId="0" hierarchy="23" level="32767"/>
    <cacheField name="[Measures].[Sum of Target]" caption="Sum of Target" numFmtId="0" hierarchy="24" level="32767"/>
    <cacheField name="[Monthly_Targets_Clean].[Product].[Product]" caption="Product" numFmtId="0" hierarchy="16" level="1">
      <sharedItems containsNonDate="0" count="5">
        <s v="Keyboard"/>
        <s v="Laptop"/>
        <s v="Monitor"/>
        <s v="Mouse"/>
        <s v="Office Chair"/>
      </sharedItems>
    </cacheField>
    <cacheField name="[Monthly_Targets_Clean].[Month].[Month]" caption="Month" numFmtId="0" hierarchy="17" level="1">
      <sharedItems count="3">
        <s v="February"/>
        <s v="January"/>
        <s v="March"/>
      </sharedItems>
    </cacheField>
  </cacheFields>
  <cacheHierarchies count="25">
    <cacheHierarchy uniqueName="[Clean_Orders_].[Order ID]" caption="Order ID" attribute="1" defaultMemberUniqueName="[Clean_Orders_].[Order ID].[All]" allUniqueName="[Clean_Orders_].[Order ID].[All]" dimensionUniqueName="[Clean_Orders_]" displayFolder="" count="0" memberValueDatatype="20" unbalanced="0"/>
    <cacheHierarchy uniqueName="[Clean_Orders_].[Customer ID]" caption="Customer ID" attribute="1" defaultMemberUniqueName="[Clean_Orders_].[Customer ID].[All]" allUniqueName="[Clean_Orders_].[Customer ID].[All]" dimensionUniqueName="[Clean_Orders_]" displayFolder="" count="0" memberValueDatatype="130" unbalanced="0"/>
    <cacheHierarchy uniqueName="[Clean_Orders_].[Order Date]" caption="Order Date" attribute="1" time="1" defaultMemberUniqueName="[Clean_Orders_].[Order Date].[All]" allUniqueName="[Clean_Orders_].[Order Date].[All]" dimensionUniqueName="[Clean_Orders_]" displayFolder="" count="0" memberValueDatatype="7" unbalanced="0"/>
    <cacheHierarchy uniqueName="[Clean_Orders_].[Product]" caption="Product" attribute="1" defaultMemberUniqueName="[Clean_Orders_].[Product].[All]" allUniqueName="[Clean_Orders_].[Product].[All]" dimensionUniqueName="[Clean_Orders_]" displayFolder="" count="0" memberValueDatatype="130" unbalanced="0"/>
    <cacheHierarchy uniqueName="[Clean_Orders_].[Category]" caption="Category" attribute="1" defaultMemberUniqueName="[Clean_Orders_].[Category].[All]" allUniqueName="[Clean_Orders_].[Category].[All]" dimensionUniqueName="[Clean_Orders_]" displayFolder="" count="0" memberValueDatatype="130" unbalanced="0"/>
    <cacheHierarchy uniqueName="[Clean_Orders_].[Region]" caption="Region" attribute="1" defaultMemberUniqueName="[Clean_Orders_].[Region].[All]" allUniqueName="[Clean_Orders_].[Region].[All]" dimensionUniqueName="[Clean_Orders_]" displayFolder="" count="0" memberValueDatatype="130" unbalanced="0"/>
    <cacheHierarchy uniqueName="[Clean_Orders_].[Channel]" caption="Channel" attribute="1" defaultMemberUniqueName="[Clean_Orders_].[Channel].[All]" allUniqueName="[Clean_Orders_].[Channel].[All]" dimensionUniqueName="[Clean_Orders_]" displayFolder="" count="0" memberValueDatatype="130" unbalanced="0"/>
    <cacheHierarchy uniqueName="[Clean_Orders_].[Quantity]" caption="Quantity" attribute="1" defaultMemberUniqueName="[Clean_Orders_].[Quantity].[All]" allUniqueName="[Clean_Orders_].[Quantity].[All]" dimensionUniqueName="[Clean_Orders_]" displayFolder="" count="0" memberValueDatatype="20" unbalanced="0"/>
    <cacheHierarchy uniqueName="[Clean_Orders_].[Sales]" caption="Sales" attribute="1" defaultMemberUniqueName="[Clean_Orders_].[Sales].[All]" allUniqueName="[Clean_Orders_].[Sales].[All]" dimensionUniqueName="[Clean_Orders_]" displayFolder="" count="0" memberValueDatatype="20" unbalanced="0"/>
    <cacheHierarchy uniqueName="[Clean_Orders_].[Cost]" caption="Cost" attribute="1" defaultMemberUniqueName="[Clean_Orders_].[Cost].[All]" allUniqueName="[Clean_Orders_].[Cost].[All]" dimensionUniqueName="[Clean_Orders_]" displayFolder="" count="0" memberValueDatatype="20" unbalanced="0"/>
    <cacheHierarchy uniqueName="[Clean_Orders_].[Profit]" caption="Profit" attribute="1" defaultMemberUniqueName="[Clean_Orders_].[Profit].[All]" allUniqueName="[Clean_Orders_].[Profit].[All]" dimensionUniqueName="[Clean_Orders_]" displayFolder="" count="0" memberValueDatatype="20" unbalanced="0"/>
    <cacheHierarchy uniqueName="[Clean_Orders_].[Profit Margin]" caption="Profit Margin" attribute="1" defaultMemberUniqueName="[Clean_Orders_].[Profit Margin].[All]" allUniqueName="[Clean_Orders_].[Profit Margin].[All]" dimensionUniqueName="[Clean_Orders_]" displayFolder="" count="0" memberValueDatatype="5" unbalanced="0"/>
    <cacheHierarchy uniqueName="[Clean_Orders_].[Month]" caption="Month" attribute="1" defaultMemberUniqueName="[Clean_Orders_].[Month].[All]" allUniqueName="[Clean_Orders_].[Month].[All]" dimensionUniqueName="[Clean_Orders_]" displayFolder="" count="0" memberValueDatatype="130" unbalanced="0"/>
    <cacheHierarchy uniqueName="[Clean_Orders_].[Customer Name]" caption="Customer Name" attribute="1" defaultMemberUniqueName="[Clean_Orders_].[Customer Name].[All]" allUniqueName="[Clean_Orders_].[Customer Name].[All]" dimensionUniqueName="[Clean_Orders_]" displayFolder="" count="0" memberValueDatatype="130" unbalanced="0"/>
    <cacheHierarchy uniqueName="[Clean_Orders_].[City]" caption="City" attribute="1" defaultMemberUniqueName="[Clean_Orders_].[City].[All]" allUniqueName="[Clean_Orders_].[City].[All]" dimensionUniqueName="[Clean_Orders_]" displayFolder="" count="0" memberValueDatatype="130" unbalanced="0"/>
    <cacheHierarchy uniqueName="[Clean_Orders_].[Product_Month]" caption="Product_Month" attribute="1" defaultMemberUniqueName="[Clean_Orders_].[Product_Month].[All]" allUniqueName="[Clean_Orders_].[Product_Month].[All]" dimensionUniqueName="[Clean_Orders_]" displayFolder="" count="0" memberValueDatatype="130" unbalanced="0"/>
    <cacheHierarchy uniqueName="[Monthly_Targets_Clean].[Product]" caption="Product" attribute="1" defaultMemberUniqueName="[Monthly_Targets_Clean].[Product].[All]" allUniqueName="[Monthly_Targets_Clean].[Product].[All]" dimensionUniqueName="[Monthly_Targets_Clean]" displayFolder="" count="2" memberValueDatatype="130" unbalanced="0">
      <fieldsUsage count="2">
        <fieldUsage x="-1"/>
        <fieldUsage x="2"/>
      </fieldsUsage>
    </cacheHierarchy>
    <cacheHierarchy uniqueName="[Monthly_Targets_Clean].[Month]" caption="Month" attribute="1" defaultMemberUniqueName="[Monthly_Targets_Clean].[Month].[All]" allUniqueName="[Monthly_Targets_Clean].[Month].[All]" dimensionUniqueName="[Monthly_Targets_Clean]" displayFolder="" count="2" memberValueDatatype="130" unbalanced="0">
      <fieldsUsage count="2">
        <fieldUsage x="-1"/>
        <fieldUsage x="3"/>
      </fieldsUsage>
    </cacheHierarchy>
    <cacheHierarchy uniqueName="[Monthly_Targets_Clean].[Target]" caption="Target" attribute="1" defaultMemberUniqueName="[Monthly_Targets_Clean].[Target].[All]" allUniqueName="[Monthly_Targets_Clean].[Target].[All]" dimensionUniqueName="[Monthly_Targets_Clean]" displayFolder="" count="0" memberValueDatatype="20" unbalanced="0"/>
    <cacheHierarchy uniqueName="[Monthly_Targets_Clean].[Product_Month]" caption="Product_Month" attribute="1" defaultMemberUniqueName="[Monthly_Targets_Clean].[Product_Month].[All]" allUniqueName="[Monthly_Targets_Clean].[Product_Month].[All]" dimensionUniqueName="[Monthly_Targets_Clean]" displayFolder="" count="0" memberValueDatatype="130" unbalanced="0"/>
    <cacheHierarchy uniqueName="[Measures].[__XL_Count Clean_Orders_]" caption="__XL_Count Clean_Orders_" measure="1" displayFolder="" measureGroup="Clean_Orders_" count="0" hidden="1"/>
    <cacheHierarchy uniqueName="[Measures].[__XL_Count Monthly_Targets_Clean]" caption="__XL_Count Monthly_Targets_Clean" measure="1" displayFolder="" measureGroup="Monthly_Targets_Clean" count="0" hidden="1"/>
    <cacheHierarchy uniqueName="[Measures].[__No measures defined]" caption="__No measures defined" measure="1" displayFolder="" count="0" hidden="1"/>
    <cacheHierarchy uniqueName="[Measures].[Sum of Sales]" caption="Sum of Sales" measure="1" displayFolder="" measureGroup="Clean_Orders_"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Target]" caption="Sum of Target" measure="1" displayFolder="" measureGroup="Monthly_Targets_Clean"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3">
    <dimension name="Clean_Orders_" uniqueName="[Clean_Orders_]" caption="Clean_Orders_"/>
    <dimension measure="1" name="Measures" uniqueName="[Measures]" caption="Measures"/>
    <dimension name="Monthly_Targets_Clean" uniqueName="[Monthly_Targets_Clean]" caption="Monthly_Targets_Clean"/>
  </dimensions>
  <measureGroups count="2">
    <measureGroup name="Clean_Orders_" caption="Clean_Orders_"/>
    <measureGroup name="Monthly_Targets_Clean" caption="Monthly_Targets_Clean"/>
  </measureGroups>
  <maps count="3">
    <map measureGroup="0" dimension="0"/>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Qadeer" refreshedDate="46282.873227199074" createdVersion="7" refreshedVersion="7" minRefreshableVersion="3" recordCount="48" xr:uid="{79870C98-878E-4264-BDD5-77FEBE9D6100}">
  <cacheSource type="worksheet">
    <worksheetSource name="Clean_Orders_"/>
  </cacheSource>
  <cacheFields count="16">
    <cacheField name="Order ID" numFmtId="0">
      <sharedItems containsSemiMixedTypes="0" containsString="0" containsNumber="1" containsInteger="1" minValue="1001" maxValue="1048"/>
    </cacheField>
    <cacheField name="Customer ID" numFmtId="0">
      <sharedItems/>
    </cacheField>
    <cacheField name="Order Date" numFmtId="14">
      <sharedItems containsSemiMixedTypes="0" containsNonDate="0" containsDate="1" containsString="0" minDate="2026-01-03T00:00:00" maxDate="2026-06-30T00:00:00"/>
    </cacheField>
    <cacheField name="Product" numFmtId="0">
      <sharedItems count="8">
        <s v="Laptop"/>
        <s v="Monitor"/>
        <s v="Mouse"/>
        <s v="Office Chair"/>
        <s v="Keyboard"/>
        <s v="Desk"/>
        <s v="Headphones"/>
        <s v="Bookshelf"/>
      </sharedItems>
    </cacheField>
    <cacheField name="Category" numFmtId="0">
      <sharedItems count="2">
        <s v="Electronics"/>
        <s v="Furniture"/>
      </sharedItems>
    </cacheField>
    <cacheField name="Region" numFmtId="0">
      <sharedItems count="4">
        <s v="North"/>
        <s v="South"/>
        <s v="East"/>
        <s v="West"/>
      </sharedItems>
    </cacheField>
    <cacheField name="Channel" numFmtId="0">
      <sharedItems count="3">
        <s v="Online"/>
        <s v="Mobile App"/>
        <s v="Store"/>
      </sharedItems>
    </cacheField>
    <cacheField name="Quantity" numFmtId="0">
      <sharedItems containsSemiMixedTypes="0" containsString="0" containsNumber="1" containsInteger="1" minValue="1" maxValue="10"/>
    </cacheField>
    <cacheField name="Sales" numFmtId="0">
      <sharedItems containsSemiMixedTypes="0" containsString="0" containsNumber="1" containsInteger="1" minValue="12000" maxValue="180000"/>
    </cacheField>
    <cacheField name="Cost" numFmtId="0">
      <sharedItems containsSemiMixedTypes="0" containsString="0" containsNumber="1" containsInteger="1" minValue="7000" maxValue="135000"/>
    </cacheField>
    <cacheField name="Profit" numFmtId="0">
      <sharedItems containsSemiMixedTypes="0" containsString="0" containsNumber="1" containsInteger="1" minValue="4500" maxValue="45000"/>
    </cacheField>
    <cacheField name="Profit Margin" numFmtId="10">
      <sharedItems containsSemiMixedTypes="0" containsString="0" containsNumber="1" minValue="0.25" maxValue="0.41666666666666702"/>
    </cacheField>
    <cacheField name="Month" numFmtId="0">
      <sharedItems count="6">
        <s v="January"/>
        <s v="February"/>
        <s v="March"/>
        <s v="April"/>
        <s v="May"/>
        <s v="June"/>
      </sharedItems>
    </cacheField>
    <cacheField name="Customer Name" numFmtId="0">
      <sharedItems count="10">
        <s v="Ali"/>
        <s v="Sara"/>
        <s v="Ahmed"/>
        <s v="Hina"/>
        <s v="Usman"/>
        <s v="Zara"/>
        <s v="Hamza"/>
        <s v="Ayesha"/>
        <s v="Bilal"/>
        <s v="Maham"/>
      </sharedItems>
    </cacheField>
    <cacheField name="City" numFmtId="0">
      <sharedItems/>
    </cacheField>
    <cacheField name="Product_Month" numFmtId="0">
      <sharedItems/>
    </cacheField>
  </cacheFields>
  <extLst>
    <ext xmlns:x14="http://schemas.microsoft.com/office/spreadsheetml/2009/9/main" uri="{725AE2AE-9491-48be-B2B4-4EB974FC3084}">
      <x14:pivotCacheDefinition pivotCacheId="11262863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n v="1001"/>
    <s v="C001"/>
    <d v="2026-01-03T00:00:00"/>
    <x v="0"/>
    <x v="0"/>
    <x v="0"/>
    <x v="0"/>
    <n v="2"/>
    <n v="120000"/>
    <n v="90000"/>
    <n v="30000"/>
    <n v="0.25"/>
    <x v="0"/>
    <x v="0"/>
    <s v="Lahore"/>
    <s v="Laptop_January"/>
  </r>
  <r>
    <n v="1006"/>
    <s v="C001"/>
    <d v="2026-01-19T00:00:00"/>
    <x v="1"/>
    <x v="0"/>
    <x v="0"/>
    <x v="0"/>
    <n v="2"/>
    <n v="70000"/>
    <n v="50000"/>
    <n v="20000"/>
    <n v="0.28571428571428598"/>
    <x v="0"/>
    <x v="0"/>
    <s v="Lahore"/>
    <s v="Monitor_January"/>
  </r>
  <r>
    <n v="1002"/>
    <s v="C002"/>
    <d v="2026-01-05T00:00:00"/>
    <x v="2"/>
    <x v="0"/>
    <x v="1"/>
    <x v="0"/>
    <n v="5"/>
    <n v="12500"/>
    <n v="7500"/>
    <n v="5000"/>
    <n v="0.4"/>
    <x v="0"/>
    <x v="1"/>
    <s v="Multan"/>
    <s v="Mouse_January"/>
  </r>
  <r>
    <n v="1012"/>
    <s v="C002"/>
    <d v="2026-02-09T00:00:00"/>
    <x v="1"/>
    <x v="0"/>
    <x v="1"/>
    <x v="0"/>
    <n v="1"/>
    <n v="35000"/>
    <n v="25000"/>
    <n v="10000"/>
    <n v="0.28571428571428598"/>
    <x v="1"/>
    <x v="1"/>
    <s v="Multan"/>
    <s v="Monitor_February"/>
  </r>
  <r>
    <n v="1003"/>
    <s v="C003"/>
    <d v="2026-01-08T00:00:00"/>
    <x v="3"/>
    <x v="1"/>
    <x v="2"/>
    <x v="1"/>
    <n v="2"/>
    <n v="30000"/>
    <n v="21000"/>
    <n v="9000"/>
    <n v="0.3"/>
    <x v="0"/>
    <x v="2"/>
    <s v="Karachi"/>
    <s v="Office Chair_January"/>
  </r>
  <r>
    <n v="1004"/>
    <s v="C004"/>
    <d v="2026-01-12T00:00:00"/>
    <x v="4"/>
    <x v="0"/>
    <x v="3"/>
    <x v="0"/>
    <n v="4"/>
    <n v="20000"/>
    <n v="12000"/>
    <n v="8000"/>
    <n v="0.4"/>
    <x v="0"/>
    <x v="3"/>
    <s v="Islamabad"/>
    <s v="Keyboard_January"/>
  </r>
  <r>
    <n v="1005"/>
    <s v="C005"/>
    <d v="2026-01-15T00:00:00"/>
    <x v="5"/>
    <x v="1"/>
    <x v="0"/>
    <x v="2"/>
    <n v="1"/>
    <n v="45000"/>
    <n v="32000"/>
    <n v="13000"/>
    <n v="0.28888888888888897"/>
    <x v="0"/>
    <x v="4"/>
    <s v="Lahore"/>
    <s v="Desk_January"/>
  </r>
  <r>
    <n v="1007"/>
    <s v="C006"/>
    <d v="2026-01-22T00:00:00"/>
    <x v="6"/>
    <x v="0"/>
    <x v="1"/>
    <x v="1"/>
    <n v="3"/>
    <n v="18000"/>
    <n v="10500"/>
    <n v="7500"/>
    <n v="0.41666666666666702"/>
    <x v="0"/>
    <x v="5"/>
    <s v="Multan"/>
    <s v="Headphones_January"/>
  </r>
  <r>
    <n v="1008"/>
    <s v="C007"/>
    <d v="2026-01-25T00:00:00"/>
    <x v="7"/>
    <x v="1"/>
    <x v="2"/>
    <x v="1"/>
    <n v="1"/>
    <n v="22000"/>
    <n v="15500"/>
    <n v="6500"/>
    <n v="0.29545454545454602"/>
    <x v="0"/>
    <x v="6"/>
    <s v="Faisalabad"/>
    <s v="Bookshelf_January"/>
  </r>
  <r>
    <n v="1009"/>
    <s v="C008"/>
    <d v="2026-01-28T00:00:00"/>
    <x v="0"/>
    <x v="0"/>
    <x v="3"/>
    <x v="0"/>
    <n v="1"/>
    <n v="60000"/>
    <n v="45000"/>
    <n v="15000"/>
    <n v="0.25"/>
    <x v="0"/>
    <x v="7"/>
    <s v="Karachi"/>
    <s v="Laptop_January"/>
  </r>
  <r>
    <n v="1010"/>
    <s v="C009"/>
    <d v="2026-02-02T00:00:00"/>
    <x v="2"/>
    <x v="0"/>
    <x v="1"/>
    <x v="2"/>
    <n v="8"/>
    <n v="20000"/>
    <n v="12000"/>
    <n v="8000"/>
    <n v="0.4"/>
    <x v="1"/>
    <x v="8"/>
    <s v="Multan"/>
    <s v="Mouse_February"/>
  </r>
  <r>
    <n v="1011"/>
    <s v="C010"/>
    <d v="2026-02-05T00:00:00"/>
    <x v="5"/>
    <x v="1"/>
    <x v="0"/>
    <x v="2"/>
    <n v="2"/>
    <n v="90000"/>
    <n v="64000"/>
    <n v="26000"/>
    <n v="0.28888888888888897"/>
    <x v="1"/>
    <x v="9"/>
    <s v="Lahore"/>
    <s v="Desk_February"/>
  </r>
  <r>
    <n v="1013"/>
    <s v="C003"/>
    <d v="2026-02-13T00:00:00"/>
    <x v="0"/>
    <x v="0"/>
    <x v="2"/>
    <x v="1"/>
    <n v="2"/>
    <n v="120000"/>
    <n v="90000"/>
    <n v="30000"/>
    <n v="0.25"/>
    <x v="1"/>
    <x v="2"/>
    <s v="Karachi"/>
    <s v="Laptop_February"/>
  </r>
  <r>
    <n v="1014"/>
    <s v="C004"/>
    <d v="2026-02-16T00:00:00"/>
    <x v="3"/>
    <x v="1"/>
    <x v="3"/>
    <x v="0"/>
    <n v="3"/>
    <n v="45000"/>
    <n v="31500"/>
    <n v="13500"/>
    <n v="0.3"/>
    <x v="1"/>
    <x v="3"/>
    <s v="Islamabad"/>
    <s v="Office Chair_February"/>
  </r>
  <r>
    <n v="1015"/>
    <s v="C005"/>
    <d v="2026-02-20T00:00:00"/>
    <x v="4"/>
    <x v="0"/>
    <x v="0"/>
    <x v="0"/>
    <n v="6"/>
    <n v="30000"/>
    <n v="18000"/>
    <n v="12000"/>
    <n v="0.4"/>
    <x v="1"/>
    <x v="4"/>
    <s v="Lahore"/>
    <s v="Keyboard_February"/>
  </r>
  <r>
    <n v="1016"/>
    <s v="C006"/>
    <d v="2026-02-24T00:00:00"/>
    <x v="6"/>
    <x v="0"/>
    <x v="1"/>
    <x v="1"/>
    <n v="5"/>
    <n v="30000"/>
    <n v="17500"/>
    <n v="12500"/>
    <n v="0.41666666666666702"/>
    <x v="1"/>
    <x v="5"/>
    <s v="Multan"/>
    <s v="Headphones_February"/>
  </r>
  <r>
    <n v="1017"/>
    <s v="C007"/>
    <d v="2026-03-01T00:00:00"/>
    <x v="7"/>
    <x v="1"/>
    <x v="2"/>
    <x v="0"/>
    <n v="2"/>
    <n v="44000"/>
    <n v="31000"/>
    <n v="13000"/>
    <n v="0.29545454545454602"/>
    <x v="2"/>
    <x v="6"/>
    <s v="Faisalabad"/>
    <s v="Bookshelf_March"/>
  </r>
  <r>
    <n v="1018"/>
    <s v="C008"/>
    <d v="2026-03-04T00:00:00"/>
    <x v="0"/>
    <x v="0"/>
    <x v="3"/>
    <x v="2"/>
    <n v="1"/>
    <n v="60000"/>
    <n v="45000"/>
    <n v="15000"/>
    <n v="0.25"/>
    <x v="2"/>
    <x v="7"/>
    <s v="Karachi"/>
    <s v="Laptop_March"/>
  </r>
  <r>
    <n v="1019"/>
    <s v="C009"/>
    <d v="2026-03-08T00:00:00"/>
    <x v="2"/>
    <x v="0"/>
    <x v="1"/>
    <x v="1"/>
    <n v="10"/>
    <n v="25000"/>
    <n v="15000"/>
    <n v="10000"/>
    <n v="0.4"/>
    <x v="2"/>
    <x v="8"/>
    <s v="Multan"/>
    <s v="Mouse_March"/>
  </r>
  <r>
    <n v="1020"/>
    <s v="C010"/>
    <d v="2026-03-12T00:00:00"/>
    <x v="5"/>
    <x v="1"/>
    <x v="0"/>
    <x v="0"/>
    <n v="1"/>
    <n v="45000"/>
    <n v="32000"/>
    <n v="13000"/>
    <n v="0.28888888888888897"/>
    <x v="2"/>
    <x v="9"/>
    <s v="Lahore"/>
    <s v="Desk_March"/>
  </r>
  <r>
    <n v="1021"/>
    <s v="C001"/>
    <d v="2026-03-15T00:00:00"/>
    <x v="1"/>
    <x v="0"/>
    <x v="0"/>
    <x v="0"/>
    <n v="3"/>
    <n v="105000"/>
    <n v="75000"/>
    <n v="30000"/>
    <n v="0.28571428571428598"/>
    <x v="2"/>
    <x v="0"/>
    <s v="Lahore"/>
    <s v="Monitor_March"/>
  </r>
  <r>
    <n v="1022"/>
    <s v="C002"/>
    <d v="2026-03-18T00:00:00"/>
    <x v="4"/>
    <x v="0"/>
    <x v="1"/>
    <x v="2"/>
    <n v="4"/>
    <n v="20000"/>
    <n v="12000"/>
    <n v="8000"/>
    <n v="0.4"/>
    <x v="2"/>
    <x v="1"/>
    <s v="Multan"/>
    <s v="Keyboard_March"/>
  </r>
  <r>
    <n v="1023"/>
    <s v="C003"/>
    <d v="2026-03-21T00:00:00"/>
    <x v="3"/>
    <x v="1"/>
    <x v="2"/>
    <x v="1"/>
    <n v="2"/>
    <n v="30000"/>
    <n v="21000"/>
    <n v="9000"/>
    <n v="0.3"/>
    <x v="2"/>
    <x v="2"/>
    <s v="Karachi"/>
    <s v="Office Chair_March"/>
  </r>
  <r>
    <n v="1024"/>
    <s v="C004"/>
    <d v="2026-03-25T00:00:00"/>
    <x v="0"/>
    <x v="0"/>
    <x v="3"/>
    <x v="0"/>
    <n v="1"/>
    <n v="60000"/>
    <n v="45000"/>
    <n v="15000"/>
    <n v="0.25"/>
    <x v="2"/>
    <x v="3"/>
    <s v="Islamabad"/>
    <s v="Laptop_March"/>
  </r>
  <r>
    <n v="1025"/>
    <s v="C005"/>
    <d v="2026-03-28T00:00:00"/>
    <x v="5"/>
    <x v="1"/>
    <x v="0"/>
    <x v="1"/>
    <n v="2"/>
    <n v="90000"/>
    <n v="64000"/>
    <n v="26000"/>
    <n v="0.28888888888888897"/>
    <x v="2"/>
    <x v="4"/>
    <s v="Lahore"/>
    <s v="Desk_March"/>
  </r>
  <r>
    <n v="1026"/>
    <s v="C006"/>
    <d v="2026-04-02T00:00:00"/>
    <x v="6"/>
    <x v="0"/>
    <x v="1"/>
    <x v="2"/>
    <n v="4"/>
    <n v="24000"/>
    <n v="14000"/>
    <n v="10000"/>
    <n v="0.41666666666666702"/>
    <x v="3"/>
    <x v="5"/>
    <s v="Multan"/>
    <s v="Headphones_April"/>
  </r>
  <r>
    <n v="1027"/>
    <s v="C007"/>
    <d v="2026-04-06T00:00:00"/>
    <x v="7"/>
    <x v="1"/>
    <x v="2"/>
    <x v="0"/>
    <n v="3"/>
    <n v="66000"/>
    <n v="46500"/>
    <n v="19500"/>
    <n v="0.29545454545454602"/>
    <x v="3"/>
    <x v="6"/>
    <s v="Faisalabad"/>
    <s v="Bookshelf_April"/>
  </r>
  <r>
    <n v="1028"/>
    <s v="C008"/>
    <d v="2026-04-10T00:00:00"/>
    <x v="0"/>
    <x v="0"/>
    <x v="3"/>
    <x v="0"/>
    <n v="2"/>
    <n v="120000"/>
    <n v="90000"/>
    <n v="30000"/>
    <n v="0.25"/>
    <x v="3"/>
    <x v="7"/>
    <s v="Karachi"/>
    <s v="Laptop_April"/>
  </r>
  <r>
    <n v="1029"/>
    <s v="C009"/>
    <d v="2026-04-14T00:00:00"/>
    <x v="2"/>
    <x v="0"/>
    <x v="1"/>
    <x v="0"/>
    <n v="6"/>
    <n v="15000"/>
    <n v="9000"/>
    <n v="6000"/>
    <n v="0.4"/>
    <x v="3"/>
    <x v="8"/>
    <s v="Multan"/>
    <s v="Mouse_April"/>
  </r>
  <r>
    <n v="1030"/>
    <s v="C010"/>
    <d v="2026-04-18T00:00:00"/>
    <x v="5"/>
    <x v="1"/>
    <x v="0"/>
    <x v="0"/>
    <n v="1"/>
    <n v="45000"/>
    <n v="32000"/>
    <n v="13000"/>
    <n v="0.28888888888888897"/>
    <x v="3"/>
    <x v="9"/>
    <s v="Lahore"/>
    <s v="Desk_April"/>
  </r>
  <r>
    <n v="1031"/>
    <s v="C001"/>
    <d v="2026-04-22T00:00:00"/>
    <x v="1"/>
    <x v="0"/>
    <x v="0"/>
    <x v="2"/>
    <n v="1"/>
    <n v="35000"/>
    <n v="25000"/>
    <n v="10000"/>
    <n v="0.28571428571428598"/>
    <x v="3"/>
    <x v="0"/>
    <s v="Lahore"/>
    <s v="Monitor_April"/>
  </r>
  <r>
    <n v="1032"/>
    <s v="C002"/>
    <d v="2026-04-26T00:00:00"/>
    <x v="4"/>
    <x v="0"/>
    <x v="1"/>
    <x v="2"/>
    <n v="7"/>
    <n v="35000"/>
    <n v="21000"/>
    <n v="14000"/>
    <n v="0.4"/>
    <x v="3"/>
    <x v="1"/>
    <s v="Multan"/>
    <s v="Keyboard_April"/>
  </r>
  <r>
    <n v="1033"/>
    <s v="C003"/>
    <d v="2026-05-01T00:00:00"/>
    <x v="3"/>
    <x v="1"/>
    <x v="2"/>
    <x v="2"/>
    <n v="4"/>
    <n v="60000"/>
    <n v="42000"/>
    <n v="18000"/>
    <n v="0.3"/>
    <x v="4"/>
    <x v="2"/>
    <s v="Karachi"/>
    <s v="Office Chair_May"/>
  </r>
  <r>
    <n v="1034"/>
    <s v="C004"/>
    <d v="2026-05-05T00:00:00"/>
    <x v="0"/>
    <x v="0"/>
    <x v="3"/>
    <x v="0"/>
    <n v="2"/>
    <n v="120000"/>
    <n v="90000"/>
    <n v="30000"/>
    <n v="0.25"/>
    <x v="4"/>
    <x v="3"/>
    <s v="Islamabad"/>
    <s v="Laptop_May"/>
  </r>
  <r>
    <n v="1035"/>
    <s v="C005"/>
    <d v="2026-05-09T00:00:00"/>
    <x v="5"/>
    <x v="1"/>
    <x v="0"/>
    <x v="0"/>
    <n v="1"/>
    <n v="45000"/>
    <n v="32000"/>
    <n v="13000"/>
    <n v="0.28888888888888897"/>
    <x v="4"/>
    <x v="4"/>
    <s v="Lahore"/>
    <s v="Desk_May"/>
  </r>
  <r>
    <n v="1036"/>
    <s v="C006"/>
    <d v="2026-05-13T00:00:00"/>
    <x v="6"/>
    <x v="0"/>
    <x v="1"/>
    <x v="0"/>
    <n v="6"/>
    <n v="36000"/>
    <n v="21000"/>
    <n v="15000"/>
    <n v="0.41666666666666702"/>
    <x v="4"/>
    <x v="5"/>
    <s v="Multan"/>
    <s v="Headphones_May"/>
  </r>
  <r>
    <n v="1037"/>
    <s v="C007"/>
    <d v="2026-05-17T00:00:00"/>
    <x v="7"/>
    <x v="1"/>
    <x v="2"/>
    <x v="0"/>
    <n v="2"/>
    <n v="44000"/>
    <n v="31000"/>
    <n v="13000"/>
    <n v="0.29545454545454602"/>
    <x v="4"/>
    <x v="6"/>
    <s v="Faisalabad"/>
    <s v="Bookshelf_May"/>
  </r>
  <r>
    <n v="1038"/>
    <s v="C008"/>
    <d v="2026-05-21T00:00:00"/>
    <x v="0"/>
    <x v="0"/>
    <x v="3"/>
    <x v="0"/>
    <n v="1"/>
    <n v="60000"/>
    <n v="45000"/>
    <n v="15000"/>
    <n v="0.25"/>
    <x v="4"/>
    <x v="7"/>
    <s v="Karachi"/>
    <s v="Laptop_May"/>
  </r>
  <r>
    <n v="1039"/>
    <s v="C009"/>
    <d v="2026-05-25T00:00:00"/>
    <x v="2"/>
    <x v="0"/>
    <x v="1"/>
    <x v="1"/>
    <n v="9"/>
    <n v="22500"/>
    <n v="13500"/>
    <n v="9000"/>
    <n v="0.4"/>
    <x v="4"/>
    <x v="8"/>
    <s v="Multan"/>
    <s v="Mouse_May"/>
  </r>
  <r>
    <n v="1040"/>
    <s v="C010"/>
    <d v="2026-05-29T00:00:00"/>
    <x v="5"/>
    <x v="1"/>
    <x v="0"/>
    <x v="1"/>
    <n v="2"/>
    <n v="90000"/>
    <n v="64000"/>
    <n v="26000"/>
    <n v="0.28888888888888897"/>
    <x v="4"/>
    <x v="9"/>
    <s v="Lahore"/>
    <s v="Desk_May"/>
  </r>
  <r>
    <n v="1041"/>
    <s v="C001"/>
    <d v="2026-06-03T00:00:00"/>
    <x v="1"/>
    <x v="0"/>
    <x v="0"/>
    <x v="1"/>
    <n v="2"/>
    <n v="70000"/>
    <n v="50000"/>
    <n v="20000"/>
    <n v="0.28571428571428598"/>
    <x v="5"/>
    <x v="0"/>
    <s v="Lahore"/>
    <s v="Monitor_June"/>
  </r>
  <r>
    <n v="1042"/>
    <s v="C002"/>
    <d v="2026-06-07T00:00:00"/>
    <x v="4"/>
    <x v="0"/>
    <x v="1"/>
    <x v="0"/>
    <n v="5"/>
    <n v="25000"/>
    <n v="15000"/>
    <n v="10000"/>
    <n v="0.4"/>
    <x v="5"/>
    <x v="1"/>
    <s v="Multan"/>
    <s v="Keyboard_June"/>
  </r>
  <r>
    <n v="1043"/>
    <s v="C003"/>
    <d v="2026-06-11T00:00:00"/>
    <x v="3"/>
    <x v="1"/>
    <x v="2"/>
    <x v="0"/>
    <n v="1"/>
    <n v="15000"/>
    <n v="10500"/>
    <n v="4500"/>
    <n v="0.3"/>
    <x v="5"/>
    <x v="2"/>
    <s v="Karachi"/>
    <s v="Office Chair_June"/>
  </r>
  <r>
    <n v="1044"/>
    <s v="C004"/>
    <d v="2026-06-15T00:00:00"/>
    <x v="0"/>
    <x v="0"/>
    <x v="3"/>
    <x v="0"/>
    <n v="3"/>
    <n v="180000"/>
    <n v="135000"/>
    <n v="45000"/>
    <n v="0.25"/>
    <x v="5"/>
    <x v="3"/>
    <s v="Islamabad"/>
    <s v="Laptop_June"/>
  </r>
  <r>
    <n v="1045"/>
    <s v="C005"/>
    <d v="2026-06-19T00:00:00"/>
    <x v="5"/>
    <x v="1"/>
    <x v="0"/>
    <x v="1"/>
    <n v="1"/>
    <n v="45000"/>
    <n v="32000"/>
    <n v="13000"/>
    <n v="0.28888888888888897"/>
    <x v="5"/>
    <x v="4"/>
    <s v="Lahore"/>
    <s v="Desk_June"/>
  </r>
  <r>
    <n v="1046"/>
    <s v="C006"/>
    <d v="2026-06-23T00:00:00"/>
    <x v="6"/>
    <x v="0"/>
    <x v="1"/>
    <x v="0"/>
    <n v="2"/>
    <n v="12000"/>
    <n v="7000"/>
    <n v="5000"/>
    <n v="0.41666666666666702"/>
    <x v="5"/>
    <x v="5"/>
    <s v="Multan"/>
    <s v="Headphones_June"/>
  </r>
  <r>
    <n v="1047"/>
    <s v="C007"/>
    <d v="2026-06-26T00:00:00"/>
    <x v="7"/>
    <x v="1"/>
    <x v="2"/>
    <x v="2"/>
    <n v="1"/>
    <n v="22000"/>
    <n v="15500"/>
    <n v="6500"/>
    <n v="0.29545454545454602"/>
    <x v="5"/>
    <x v="6"/>
    <s v="Faisalabad"/>
    <s v="Bookshelf_June"/>
  </r>
  <r>
    <n v="1048"/>
    <s v="C008"/>
    <d v="2026-06-29T00:00:00"/>
    <x v="0"/>
    <x v="0"/>
    <x v="3"/>
    <x v="0"/>
    <n v="1"/>
    <n v="60000"/>
    <n v="45000"/>
    <n v="15000"/>
    <n v="0.25"/>
    <x v="5"/>
    <x v="7"/>
    <s v="Karachi"/>
    <s v="Laptop_Ju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B04C67-9133-4E3A-8EA5-93E487D943BA}" name="Actual Sales vs Targe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roduct_Month">
  <location ref="G34:I3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s="1" x="0" e="0"/>
        <item s="1" x="1" e="0"/>
        <item s="1" x="2" e="0"/>
      </items>
    </pivotField>
  </pivotFields>
  <rowFields count="2">
    <field x="3"/>
    <field x="2"/>
  </rowFields>
  <rowItems count="4">
    <i>
      <x/>
    </i>
    <i>
      <x v="1"/>
    </i>
    <i>
      <x v="2"/>
    </i>
    <i t="grand">
      <x/>
    </i>
  </rowItems>
  <colFields count="1">
    <field x="-2"/>
  </colFields>
  <colItems count="2">
    <i>
      <x/>
    </i>
    <i i="1">
      <x v="1"/>
    </i>
  </colItems>
  <dataFields count="2">
    <dataField name="Sum of Sales" fld="0" baseField="0" baseItem="0"/>
    <dataField name="Sum of Target" fld="1"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Orders_]"/>
        <x15:activeTabTopLevelEntity name="[Monthly_Target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CB795A-E3C4-4702-920E-49C076808340}" name="Monthly Sales &amp; Profit"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rowHeaderCaption="Month">
  <location ref="G10:I17" firstHeaderRow="0" firstDataRow="1" firstDataCol="1"/>
  <pivotFields count="16">
    <pivotField showAll="0"/>
    <pivotField showAll="0"/>
    <pivotField numFmtId="14" showAll="0"/>
    <pivotField showAll="0"/>
    <pivotField showAll="0">
      <items count="3">
        <item x="0"/>
        <item x="1"/>
        <item t="default"/>
      </items>
    </pivotField>
    <pivotField showAll="0">
      <items count="5">
        <item x="2"/>
        <item x="0"/>
        <item x="1"/>
        <item x="3"/>
        <item t="default"/>
      </items>
    </pivotField>
    <pivotField showAll="0">
      <items count="4">
        <item x="1"/>
        <item x="0"/>
        <item x="2"/>
        <item t="default"/>
      </items>
    </pivotField>
    <pivotField showAll="0"/>
    <pivotField dataField="1" showAll="0"/>
    <pivotField showAll="0"/>
    <pivotField dataField="1" showAll="0"/>
    <pivotField numFmtId="10" showAll="0"/>
    <pivotField axis="axisRow" showAll="0">
      <items count="7">
        <item x="0"/>
        <item x="1"/>
        <item x="2"/>
        <item x="3"/>
        <item x="4"/>
        <item x="5"/>
        <item t="default"/>
      </items>
    </pivotField>
    <pivotField showAll="0"/>
    <pivotField showAll="0"/>
    <pivotField showAll="0"/>
  </pivotFields>
  <rowFields count="1">
    <field x="12"/>
  </rowFields>
  <rowItems count="7">
    <i>
      <x/>
    </i>
    <i>
      <x v="1"/>
    </i>
    <i>
      <x v="2"/>
    </i>
    <i>
      <x v="3"/>
    </i>
    <i>
      <x v="4"/>
    </i>
    <i>
      <x v="5"/>
    </i>
    <i t="grand">
      <x/>
    </i>
  </rowItems>
  <colFields count="1">
    <field x="-2"/>
  </colFields>
  <colItems count="2">
    <i>
      <x/>
    </i>
    <i i="1">
      <x v="1"/>
    </i>
  </colItems>
  <dataFields count="2">
    <dataField name="Sum of Sales" fld="8" baseField="0" baseItem="0"/>
    <dataField name="Sum of Profit" fld="10" baseField="0" baseItem="0"/>
  </dataFields>
  <chartFormats count="8">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791869-C8AF-4FE4-8644-2B6F8C7FC653}" name="Sales by Region"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rowHeaderCaption="Region">
  <location ref="A20:B25" firstHeaderRow="1" firstDataRow="1" firstDataCol="1"/>
  <pivotFields count="16">
    <pivotField showAll="0"/>
    <pivotField showAll="0"/>
    <pivotField numFmtId="14" showAll="0"/>
    <pivotField showAll="0"/>
    <pivotField showAll="0">
      <items count="3">
        <item x="0"/>
        <item x="1"/>
        <item t="default"/>
      </items>
    </pivotField>
    <pivotField axis="axisRow" showAll="0">
      <items count="5">
        <item x="2"/>
        <item x="0"/>
        <item x="1"/>
        <item x="3"/>
        <item t="default"/>
      </items>
    </pivotField>
    <pivotField showAll="0">
      <items count="4">
        <item x="1"/>
        <item x="0"/>
        <item x="2"/>
        <item t="default"/>
      </items>
    </pivotField>
    <pivotField showAll="0"/>
    <pivotField dataField="1" showAll="0"/>
    <pivotField showAll="0"/>
    <pivotField showAll="0"/>
    <pivotField numFmtId="10" showAll="0"/>
    <pivotField showAll="0"/>
    <pivotField showAll="0"/>
    <pivotField showAll="0"/>
    <pivotField showAll="0"/>
  </pivotFields>
  <rowFields count="1">
    <field x="5"/>
  </rowFields>
  <rowItems count="5">
    <i>
      <x/>
    </i>
    <i>
      <x v="1"/>
    </i>
    <i>
      <x v="2"/>
    </i>
    <i>
      <x v="3"/>
    </i>
    <i t="grand">
      <x/>
    </i>
  </rowItems>
  <colItems count="1">
    <i/>
  </colItems>
  <dataFields count="1">
    <dataField name="Sum of Sales" fld="8" baseField="0" baseItem="0"/>
  </dataFields>
  <chartFormats count="4">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34487B-2937-414C-9608-D74DEB03DE2D}" name="Customer Sales"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Customer">
  <location ref="G20:H31" firstHeaderRow="1" firstDataRow="1" firstDataCol="1"/>
  <pivotFields count="16">
    <pivotField showAll="0"/>
    <pivotField showAll="0"/>
    <pivotField numFmtId="14" showAll="0"/>
    <pivotField showAll="0"/>
    <pivotField showAll="0">
      <items count="3">
        <item x="0"/>
        <item x="1"/>
        <item t="default"/>
      </items>
    </pivotField>
    <pivotField showAll="0">
      <items count="5">
        <item x="2"/>
        <item x="0"/>
        <item x="1"/>
        <item x="3"/>
        <item t="default"/>
      </items>
    </pivotField>
    <pivotField showAll="0">
      <items count="4">
        <item x="1"/>
        <item x="0"/>
        <item x="2"/>
        <item t="default"/>
      </items>
    </pivotField>
    <pivotField showAll="0"/>
    <pivotField dataField="1" showAll="0"/>
    <pivotField showAll="0"/>
    <pivotField showAll="0"/>
    <pivotField numFmtId="10" showAll="0"/>
    <pivotField showAll="0"/>
    <pivotField axis="axisRow" showAll="0" sortType="ascending">
      <items count="11">
        <item x="2"/>
        <item x="0"/>
        <item x="7"/>
        <item x="8"/>
        <item x="6"/>
        <item x="3"/>
        <item x="9"/>
        <item x="1"/>
        <item x="4"/>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3"/>
  </rowFields>
  <rowItems count="11">
    <i>
      <x v="3"/>
    </i>
    <i>
      <x v="9"/>
    </i>
    <i>
      <x v="7"/>
    </i>
    <i>
      <x v="4"/>
    </i>
    <i>
      <x v="8"/>
    </i>
    <i>
      <x/>
    </i>
    <i>
      <x v="6"/>
    </i>
    <i>
      <x v="2"/>
    </i>
    <i>
      <x v="1"/>
    </i>
    <i>
      <x v="5"/>
    </i>
    <i t="grand">
      <x/>
    </i>
  </rowItems>
  <colItems count="1">
    <i/>
  </colItems>
  <dataFields count="1">
    <dataField name="Sum of Sales" fld="8" baseField="0" baseItem="0"/>
  </dataFields>
  <chartFormats count="3">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328060-B21D-4063-ADD5-50F16BA82B5B}" name="Sales by Channel"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rowHeaderCaption="Channel">
  <location ref="A34:B38" firstHeaderRow="1" firstDataRow="1" firstDataCol="1"/>
  <pivotFields count="16">
    <pivotField showAll="0"/>
    <pivotField showAll="0"/>
    <pivotField numFmtId="14" showAll="0"/>
    <pivotField showAll="0"/>
    <pivotField showAll="0">
      <items count="3">
        <item x="0"/>
        <item x="1"/>
        <item t="default"/>
      </items>
    </pivotField>
    <pivotField showAll="0">
      <items count="5">
        <item x="2"/>
        <item x="0"/>
        <item x="1"/>
        <item x="3"/>
        <item t="default"/>
      </items>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0" showAll="0"/>
    <pivotField showAll="0"/>
    <pivotField showAll="0"/>
    <pivotField showAll="0"/>
    <pivotField showAll="0"/>
  </pivotFields>
  <rowFields count="1">
    <field x="6"/>
  </rowFields>
  <rowItems count="4">
    <i>
      <x v="2"/>
    </i>
    <i>
      <x/>
    </i>
    <i>
      <x v="1"/>
    </i>
    <i t="grand">
      <x/>
    </i>
  </rowItems>
  <colItems count="1">
    <i/>
  </colItems>
  <dataFields count="1">
    <dataField name="Sum of Sales" fld="8" baseField="0" baseItem="0"/>
  </dataFields>
  <chartFormats count="6">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609CDB-A19C-4ABD-B41C-2F82CE8E97E9}" name="Order by Region"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
  <location ref="D34:E39" firstHeaderRow="1" firstDataRow="1" firstDataCol="1"/>
  <pivotFields count="16">
    <pivotField dataField="1" showAll="0"/>
    <pivotField showAll="0"/>
    <pivotField numFmtId="14" showAll="0"/>
    <pivotField showAll="0"/>
    <pivotField showAll="0">
      <items count="3">
        <item x="0"/>
        <item x="1"/>
        <item t="default"/>
      </items>
    </pivotField>
    <pivotField axis="axisRow" showAll="0">
      <items count="5">
        <item x="2"/>
        <item x="0"/>
        <item x="1"/>
        <item x="3"/>
        <item t="default"/>
      </items>
    </pivotField>
    <pivotField showAll="0">
      <items count="4">
        <item x="1"/>
        <item x="0"/>
        <item x="2"/>
        <item t="default"/>
      </items>
    </pivotField>
    <pivotField showAll="0"/>
    <pivotField showAll="0"/>
    <pivotField showAll="0"/>
    <pivotField showAll="0"/>
    <pivotField numFmtId="10" showAll="0"/>
    <pivotField showAll="0"/>
    <pivotField showAll="0"/>
    <pivotField showAll="0"/>
    <pivotField showAll="0"/>
  </pivotFields>
  <rowFields count="1">
    <field x="5"/>
  </rowFields>
  <rowItems count="5">
    <i>
      <x/>
    </i>
    <i>
      <x v="1"/>
    </i>
    <i>
      <x v="2"/>
    </i>
    <i>
      <x v="3"/>
    </i>
    <i t="grand">
      <x/>
    </i>
  </rowItems>
  <colItems count="1">
    <i/>
  </colItems>
  <dataFields count="1">
    <dataField name="Count of Order ID" fld="0" subtotal="count" baseField="5"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FA5D32-E51F-461F-BCD4-B5F3A2718B4D}" name="Product Quantity"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Product">
  <location ref="D20:E29" firstHeaderRow="1" firstDataRow="1" firstDataCol="1"/>
  <pivotFields count="16">
    <pivotField showAll="0"/>
    <pivotField showAll="0"/>
    <pivotField numFmtId="14" showAll="0"/>
    <pivotField axis="axisRow" showAll="0" sortType="ascending">
      <items count="9">
        <item x="7"/>
        <item x="5"/>
        <item x="6"/>
        <item x="4"/>
        <item x="0"/>
        <item x="1"/>
        <item x="2"/>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5">
        <item x="2"/>
        <item x="0"/>
        <item x="1"/>
        <item x="3"/>
        <item t="default"/>
      </items>
    </pivotField>
    <pivotField showAll="0">
      <items count="4">
        <item x="1"/>
        <item x="0"/>
        <item x="2"/>
        <item t="default"/>
      </items>
    </pivotField>
    <pivotField dataField="1" showAll="0"/>
    <pivotField showAll="0"/>
    <pivotField showAll="0"/>
    <pivotField showAll="0"/>
    <pivotField numFmtId="10" showAll="0"/>
    <pivotField showAll="0"/>
    <pivotField showAll="0"/>
    <pivotField showAll="0"/>
    <pivotField showAll="0"/>
  </pivotFields>
  <rowFields count="1">
    <field x="3"/>
  </rowFields>
  <rowItems count="9">
    <i>
      <x v="5"/>
    </i>
    <i>
      <x/>
    </i>
    <i>
      <x v="1"/>
    </i>
    <i>
      <x v="7"/>
    </i>
    <i>
      <x v="4"/>
    </i>
    <i>
      <x v="2"/>
    </i>
    <i>
      <x v="3"/>
    </i>
    <i>
      <x v="6"/>
    </i>
    <i t="grand">
      <x/>
    </i>
  </rowItems>
  <colItems count="1">
    <i/>
  </colItems>
  <dataFields count="1">
    <dataField name="Sum of Quantity" fld="7" baseField="0" baseItem="0"/>
  </dataFields>
  <chartFormats count="4">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46715F-9E79-46CC-B353-F9A79CFE6C24}" name="Profit by Category"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ategory">
  <location ref="D10:E13" firstHeaderRow="1" firstDataRow="1" firstDataCol="1"/>
  <pivotFields count="16">
    <pivotField showAll="0"/>
    <pivotField showAll="0"/>
    <pivotField numFmtId="14" showAll="0"/>
    <pivotField showAll="0"/>
    <pivotField axis="axisRow" showAll="0">
      <items count="3">
        <item x="0"/>
        <item x="1"/>
        <item t="default"/>
      </items>
    </pivotField>
    <pivotField showAll="0">
      <items count="5">
        <item x="2"/>
        <item x="0"/>
        <item x="1"/>
        <item x="3"/>
        <item t="default"/>
      </items>
    </pivotField>
    <pivotField showAll="0">
      <items count="4">
        <item x="1"/>
        <item x="0"/>
        <item x="2"/>
        <item t="default"/>
      </items>
    </pivotField>
    <pivotField showAll="0"/>
    <pivotField showAll="0"/>
    <pivotField showAll="0"/>
    <pivotField dataField="1" showAll="0"/>
    <pivotField numFmtId="10" showAll="0"/>
    <pivotField showAll="0"/>
    <pivotField showAll="0"/>
    <pivotField showAll="0"/>
    <pivotField showAll="0"/>
  </pivotFields>
  <rowFields count="1">
    <field x="4"/>
  </rowFields>
  <rowItems count="3">
    <i>
      <x/>
    </i>
    <i>
      <x v="1"/>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F7BF65-0AF2-442D-AA2D-4463F1CC8B69}" name="Sales by Category"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Category">
  <location ref="A10:B13" firstHeaderRow="1" firstDataRow="1" firstDataCol="1"/>
  <pivotFields count="16">
    <pivotField showAll="0"/>
    <pivotField showAll="0"/>
    <pivotField numFmtId="14" showAll="0"/>
    <pivotField showAll="0"/>
    <pivotField axis="axisRow" showAll="0">
      <items count="3">
        <item x="0"/>
        <item x="1"/>
        <item t="default"/>
      </items>
    </pivotField>
    <pivotField showAll="0">
      <items count="5">
        <item x="2"/>
        <item x="0"/>
        <item x="1"/>
        <item x="3"/>
        <item t="default"/>
      </items>
    </pivotField>
    <pivotField showAll="0">
      <items count="4">
        <item x="1"/>
        <item x="0"/>
        <item x="2"/>
        <item t="default"/>
      </items>
    </pivotField>
    <pivotField showAll="0"/>
    <pivotField dataField="1" showAll="0"/>
    <pivotField showAll="0"/>
    <pivotField showAll="0"/>
    <pivotField numFmtId="10" showAll="0"/>
    <pivotField showAll="0"/>
    <pivotField showAll="0"/>
    <pivotField showAll="0"/>
    <pivotField showAll="0"/>
  </pivotFields>
  <rowFields count="1">
    <field x="4"/>
  </rowFields>
  <rowItems count="3">
    <i>
      <x/>
    </i>
    <i>
      <x v="1"/>
    </i>
    <i t="grand">
      <x/>
    </i>
  </rowItems>
  <colItems count="1">
    <i/>
  </colItems>
  <dataFields count="1">
    <dataField name="Sum of Sales" fld="8" baseField="0" baseItem="0"/>
  </dataFields>
  <chartFormats count="2">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507E950-7FF2-444C-9876-57A929D37613}" autoFormatId="16" applyNumberFormats="0" applyBorderFormats="0" applyFontFormats="0" applyPatternFormats="0" applyAlignmentFormats="0" applyWidthHeightFormats="0">
  <queryTableRefresh nextId="19">
    <queryTableFields count="16">
      <queryTableField id="1" name="Order ID" tableColumnId="1"/>
      <queryTableField id="2" name="Customer ID" tableColumnId="2"/>
      <queryTableField id="3" name="Order Date" tableColumnId="3"/>
      <queryTableField id="4" name="Product" tableColumnId="4"/>
      <queryTableField id="5" name="Category" tableColumnId="5"/>
      <queryTableField id="6" name="Region" tableColumnId="6"/>
      <queryTableField id="7" name="Channel" tableColumnId="7"/>
      <queryTableField id="8" name="Quantity" tableColumnId="8"/>
      <queryTableField id="9" name="Sales" tableColumnId="9"/>
      <queryTableField id="10" name="Cost" tableColumnId="10"/>
      <queryTableField id="12" name="Profit" tableColumnId="12"/>
      <queryTableField id="13" name="Profit Margin" tableColumnId="13"/>
      <queryTableField id="15" name="Month" tableColumnId="15"/>
      <queryTableField id="16" name="Customer Name" tableColumnId="16"/>
      <queryTableField id="17" name="City" tableColumnId="17"/>
      <queryTableField id="18" name="Product_Month" tableColumnId="18"/>
    </queryTableFields>
    <queryTableDeletedFields count="2">
      <deletedField name="Customer"/>
      <deletedField name="Order Valu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B1A89C1C-6697-437D-83C4-C04929822DC0}" autoFormatId="16" applyNumberFormats="0" applyBorderFormats="0" applyFontFormats="0" applyPatternFormats="0" applyAlignmentFormats="0" applyWidthHeightFormats="0">
  <queryTableRefresh nextId="5">
    <queryTableFields count="4">
      <queryTableField id="1" name="Product" tableColumnId="1"/>
      <queryTableField id="2" name="Month" tableColumnId="2"/>
      <queryTableField id="3" name="Target" tableColumnId="3"/>
      <queryTableField id="4" name="Product_Month"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C80B92-39E5-43CE-BD40-D713A62B0009}" sourceName="Region">
  <pivotTables>
    <pivotTable tabId="5" name="Sales by Category"/>
    <pivotTable tabId="5" name="Profit by Category"/>
    <pivotTable tabId="5" name="Product Quantity"/>
    <pivotTable tabId="5" name="Order by Region"/>
    <pivotTable tabId="5" name="Sales by Channel"/>
    <pivotTable tabId="5" name="Customer Sales"/>
    <pivotTable tabId="5" name="Sales by Region"/>
    <pivotTable tabId="5" name="Monthly Sales &amp; Profit"/>
  </pivotTables>
  <data>
    <tabular pivotCacheId="112628636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1019AE0-9B7E-4FAC-B089-5C7A2012D168}" sourceName="Category">
  <pivotTables>
    <pivotTable tabId="5" name="Profit by Category"/>
    <pivotTable tabId="5" name="Sales by Category"/>
    <pivotTable tabId="5" name="Product Quantity"/>
    <pivotTable tabId="5" name="Order by Region"/>
    <pivotTable tabId="5" name="Sales by Channel"/>
    <pivotTable tabId="5" name="Customer Sales"/>
    <pivotTable tabId="5" name="Sales by Region"/>
    <pivotTable tabId="5" name="Monthly Sales &amp; Profit"/>
  </pivotTables>
  <data>
    <tabular pivotCacheId="112628636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8B1113E-A9C0-491E-989B-2E60C0139C13}" sourceName="Channel">
  <pivotTables>
    <pivotTable tabId="5" name="Profit by Category"/>
    <pivotTable tabId="5" name="Sales by Category"/>
    <pivotTable tabId="5" name="Product Quantity"/>
    <pivotTable tabId="5" name="Order by Region"/>
    <pivotTable tabId="5" name="Sales by Channel"/>
    <pivotTable tabId="5" name="Customer Sales"/>
    <pivotTable tabId="5" name="Sales by Region"/>
    <pivotTable tabId="5" name="Monthly Sales &amp; Profit"/>
  </pivotTables>
  <data>
    <tabular pivotCacheId="112628636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A833F99-9DEB-4BF8-A599-2D6CEBAD7933}" cache="Slicer_Region" caption="Region" rowHeight="241300"/>
  <slicer name="Category" xr10:uid="{4BDDD83C-4865-4D9D-99E9-E3BA5745BBB0}" cache="Slicer_Category" caption="Category" rowHeight="241300"/>
  <slicer name="Channel" xr10:uid="{772C08E0-42D8-4D87-8F7C-7CE5A3D690AC}" cache="Slicer_Channel" caption="Chann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3497D0C-85CB-48AB-B38C-268D270A3D4C}" cache="Slicer_Region" caption="Region" rowHeight="241300"/>
  <slicer name="Category 1" xr10:uid="{D85C5B91-B9BF-416D-830B-4A644D3E1F42}" cache="Slicer_Category" caption="Category" rowHeight="241300"/>
  <slicer name="Channel 1" xr10:uid="{BC6C0EC8-CA82-4537-B0F4-DCFAACAC0447}" cache="Slicer_Channel" caption="Channel"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417144-E894-4AC0-AC9C-6C88CE51B61C}" name="Table1" displayName="Table1" ref="A1:K49" totalsRowShown="0" headerRowDxfId="20" headerRowBorderDxfId="19" tableBorderDxfId="18">
  <autoFilter ref="A1:K49" xr:uid="{00000000-0001-0000-0000-000000000000}"/>
  <tableColumns count="11">
    <tableColumn id="1" xr3:uid="{7A5261D6-4C10-4FAB-BC3E-EB22AE12FAD6}" name="Order ID"/>
    <tableColumn id="2" xr3:uid="{CC0D97E2-B938-4A9E-8ECE-36DC732FBB64}" name="Customer ID"/>
    <tableColumn id="3" xr3:uid="{B66AD261-3B18-439F-A8DA-8DDF2F85BDAC}" name="Order Date"/>
    <tableColumn id="4" xr3:uid="{115CE15F-C247-40D7-983F-29DF4FC2A58E}" name="Product"/>
    <tableColumn id="5" xr3:uid="{EBFE852E-3FF2-48FB-805D-429EDD5569B5}" name="Category"/>
    <tableColumn id="6" xr3:uid="{AC1F568A-50A4-4F34-9905-AAA2614B7238}" name="Region"/>
    <tableColumn id="7" xr3:uid="{66C34558-125D-4E59-B5F8-55C47FA3716B}" name="Channel"/>
    <tableColumn id="8" xr3:uid="{48F18B97-D01F-4DF5-9762-DB5C2A7429CF}" name="Quantity"/>
    <tableColumn id="9" xr3:uid="{F01D1671-6BD4-4969-BE7E-C0B32E060B3B}" name="Sales"/>
    <tableColumn id="10" xr3:uid="{861BD5E2-A52F-4EAC-B730-577B9E1DE575}" name="Cost"/>
    <tableColumn id="11" xr3:uid="{D1AAC029-1A47-4AC1-8B3D-DEFB8DA26FDD}" name="Custome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1D5774-F9D6-417A-A3D0-0077265C052A}" name="Clean_Orders_" displayName="Clean_Orders_" ref="A1:P49" tableType="queryTable" totalsRowShown="0">
  <autoFilter ref="A1:P49" xr:uid="{031D5774-F9D6-417A-A3D0-0077265C052A}"/>
  <tableColumns count="16">
    <tableColumn id="1" xr3:uid="{A2586D03-6334-49BC-8D7D-8BC9B4726FF8}" uniqueName="1" name="Order ID" queryTableFieldId="1"/>
    <tableColumn id="2" xr3:uid="{FBB32871-EA65-4654-B4E9-AE4609DD10F6}" uniqueName="2" name="Customer ID" queryTableFieldId="2" dataDxfId="17"/>
    <tableColumn id="3" xr3:uid="{60F9D90B-305C-4252-99F7-EFAB1F5FEEF2}" uniqueName="3" name="Order Date" queryTableFieldId="3" dataDxfId="16"/>
    <tableColumn id="4" xr3:uid="{F5DBAC62-6473-45D2-A532-7256113E49ED}" uniqueName="4" name="Product" queryTableFieldId="4" dataDxfId="15"/>
    <tableColumn id="5" xr3:uid="{97252336-2974-410B-B333-28844112CC5B}" uniqueName="5" name="Category" queryTableFieldId="5" dataDxfId="14"/>
    <tableColumn id="6" xr3:uid="{184A31D0-278E-4317-91F3-B0373E7224F3}" uniqueName="6" name="Region" queryTableFieldId="6" dataDxfId="13"/>
    <tableColumn id="7" xr3:uid="{12777E30-4EF5-469C-B768-6C0FABE34FDB}" uniqueName="7" name="Channel" queryTableFieldId="7" dataDxfId="12"/>
    <tableColumn id="8" xr3:uid="{986B2823-0683-4C9C-8E86-38E5095E7892}" uniqueName="8" name="Quantity" queryTableFieldId="8"/>
    <tableColumn id="9" xr3:uid="{475E9BD1-8C9D-44B2-8AE2-264437E1001B}" uniqueName="9" name="Sales" queryTableFieldId="9"/>
    <tableColumn id="10" xr3:uid="{0828A3BE-5641-492A-B023-CB98F2D7C5E2}" uniqueName="10" name="Cost" queryTableFieldId="10"/>
    <tableColumn id="12" xr3:uid="{FCE03B02-D729-4DC7-9632-2D81E980E451}" uniqueName="12" name="Profit" queryTableFieldId="12"/>
    <tableColumn id="13" xr3:uid="{CE2732B0-C6D6-4044-85E0-7C8DCDBDEF46}" uniqueName="13" name="Profit Margin" queryTableFieldId="13" dataDxfId="11" dataCellStyle="Per cent"/>
    <tableColumn id="15" xr3:uid="{EAA8F5FD-8343-4B20-9159-452E37C702C5}" uniqueName="15" name="Month" queryTableFieldId="15" dataDxfId="10"/>
    <tableColumn id="16" xr3:uid="{A5032633-FCE5-4BEF-AC05-D069AB52AAE5}" uniqueName="16" name="Customer Name" queryTableFieldId="16" dataDxfId="9"/>
    <tableColumn id="17" xr3:uid="{D5DF28DB-C5CD-4964-9856-E5F5D465E784}" uniqueName="17" name="City" queryTableFieldId="17" dataDxfId="8"/>
    <tableColumn id="18" xr3:uid="{A22B4B06-33EE-4C78-A2CB-46A86B239D1A}" uniqueName="18" name="Product_Month"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D621E46-F155-4039-9EFA-49E920426489}" name="Table5" displayName="Table5" ref="A1:D11" totalsRowShown="0" headerRowDxfId="7" headerRowBorderDxfId="6" tableBorderDxfId="5">
  <autoFilter ref="A1:D11" xr:uid="{2D621E46-F155-4039-9EFA-49E920426489}"/>
  <tableColumns count="4">
    <tableColumn id="1" xr3:uid="{239B2250-B74B-4018-9448-3A54D83D6DB4}" name="Customer ID"/>
    <tableColumn id="2" xr3:uid="{320CA5AD-FA51-466A-8424-F2D5786E3F6F}" name="Customer Name"/>
    <tableColumn id="3" xr3:uid="{35B3C576-B252-4EDA-B5B9-B0B18134B702}" name="Email" dataCellStyle="Hyperlink"/>
    <tableColumn id="4" xr3:uid="{EF0A9BF1-A9AE-4B77-A0FE-8F50D4BF589B}" name="City"/>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94EA56-D7B2-476B-BB83-09D138B0970E}" name="Table6" displayName="Table6" ref="A1:D6" totalsRowShown="0" headerRowDxfId="4" headerRowBorderDxfId="3" tableBorderDxfId="2">
  <autoFilter ref="A1:D6" xr:uid="{B494EA56-D7B2-476B-BB83-09D138B0970E}"/>
  <tableColumns count="4">
    <tableColumn id="1" xr3:uid="{B6304419-DCE5-4D24-BE17-ABDE02E7B154}" name="Product"/>
    <tableColumn id="2" xr3:uid="{D688B2F2-05B9-4EBF-B5D3-982A6E1E493E}" name="Jan Target"/>
    <tableColumn id="3" xr3:uid="{D5117DBD-EC84-4515-9A4D-FC80B48EB99F}" name="Feb Target"/>
    <tableColumn id="4" xr3:uid="{E4659904-D6BC-4EE9-8383-9EE2C677C923}" name="Mar Targe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0A606A-C0B5-417C-9726-A88F5C9202EB}" name="Monthly_Targets_Clean" displayName="Monthly_Targets_Clean" ref="A1:D16" tableType="queryTable" totalsRowShown="0">
  <autoFilter ref="A1:D16" xr:uid="{E90A606A-C0B5-417C-9726-A88F5C9202EB}"/>
  <tableColumns count="4">
    <tableColumn id="1" xr3:uid="{3ED008A1-902B-4F13-836E-FED615CFD6E9}" uniqueName="1" name="Product" queryTableFieldId="1" dataDxfId="1"/>
    <tableColumn id="2" xr3:uid="{96AB94F9-8A68-4AEF-940C-D5B3AAB19256}" uniqueName="2" name="Month" queryTableFieldId="2" dataDxfId="0"/>
    <tableColumn id="3" xr3:uid="{87DE7173-0DCF-4E1B-8345-5B7B6C88FC7C}" uniqueName="3" name="Target" queryTableFieldId="3"/>
    <tableColumn id="4" xr3:uid="{FD5E6649-FCC9-4AC6-843D-D2C38F4007FA}" uniqueName="4" name="Product_Month"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mailto:ayesha@example.com" TargetMode="External"/><Relationship Id="rId3" Type="http://schemas.openxmlformats.org/officeDocument/2006/relationships/hyperlink" Target="mailto:ali@example.com" TargetMode="External"/><Relationship Id="rId7" Type="http://schemas.openxmlformats.org/officeDocument/2006/relationships/hyperlink" Target="mailto:hamza@example.com" TargetMode="External"/><Relationship Id="rId12" Type="http://schemas.openxmlformats.org/officeDocument/2006/relationships/table" Target="../tables/table3.xml"/><Relationship Id="rId2" Type="http://schemas.openxmlformats.org/officeDocument/2006/relationships/hyperlink" Target="mailto:usman@example.com" TargetMode="External"/><Relationship Id="rId1" Type="http://schemas.openxmlformats.org/officeDocument/2006/relationships/hyperlink" Target="mailto:sara@example.com" TargetMode="External"/><Relationship Id="rId6" Type="http://schemas.openxmlformats.org/officeDocument/2006/relationships/hyperlink" Target="mailto:zara@example.com" TargetMode="External"/><Relationship Id="rId11" Type="http://schemas.openxmlformats.org/officeDocument/2006/relationships/printerSettings" Target="../printerSettings/printerSettings2.bin"/><Relationship Id="rId5" Type="http://schemas.openxmlformats.org/officeDocument/2006/relationships/hyperlink" Target="mailto:hina@example.com" TargetMode="External"/><Relationship Id="rId10" Type="http://schemas.openxmlformats.org/officeDocument/2006/relationships/hyperlink" Target="mailto:maham@example.com" TargetMode="External"/><Relationship Id="rId4" Type="http://schemas.openxmlformats.org/officeDocument/2006/relationships/hyperlink" Target="mailto:ahmed@example.com" TargetMode="External"/><Relationship Id="rId9" Type="http://schemas.openxmlformats.org/officeDocument/2006/relationships/hyperlink" Target="mailto:bilal@example.com"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4.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9"/>
  <sheetViews>
    <sheetView workbookViewId="0">
      <selection activeCell="A2" sqref="A2"/>
    </sheetView>
  </sheetViews>
  <sheetFormatPr defaultRowHeight="14.5" x14ac:dyDescent="0.35"/>
  <cols>
    <col min="1" max="1" width="10" customWidth="1"/>
    <col min="2" max="2" width="13.26953125" customWidth="1"/>
    <col min="3" max="3" width="12.1796875" customWidth="1"/>
    <col min="4" max="4" width="11.36328125" bestFit="1" customWidth="1"/>
    <col min="5" max="5" width="10.26953125" customWidth="1"/>
    <col min="6" max="6" width="8.453125" customWidth="1"/>
    <col min="7" max="7" width="12.1796875" bestFit="1" customWidth="1"/>
    <col min="8" max="8" width="10.1796875" customWidth="1"/>
    <col min="9" max="9" width="7" customWidth="1"/>
    <col min="10" max="10" width="6.81640625" bestFit="1" customWidth="1"/>
    <col min="11" max="11" width="11"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1001</v>
      </c>
      <c r="B2" t="s">
        <v>11</v>
      </c>
      <c r="C2" t="s">
        <v>12</v>
      </c>
      <c r="D2" t="s">
        <v>13</v>
      </c>
      <c r="E2" t="s">
        <v>14</v>
      </c>
      <c r="F2" t="s">
        <v>15</v>
      </c>
      <c r="G2" t="s">
        <v>16</v>
      </c>
      <c r="H2">
        <v>2</v>
      </c>
      <c r="I2">
        <v>120000</v>
      </c>
      <c r="J2">
        <v>90000</v>
      </c>
      <c r="K2" t="s">
        <v>17</v>
      </c>
    </row>
    <row r="3" spans="1:11" x14ac:dyDescent="0.35">
      <c r="A3">
        <v>1002</v>
      </c>
      <c r="B3" t="s">
        <v>18</v>
      </c>
      <c r="C3" t="s">
        <v>19</v>
      </c>
      <c r="D3" t="s">
        <v>20</v>
      </c>
      <c r="E3" t="s">
        <v>14</v>
      </c>
      <c r="F3" t="s">
        <v>21</v>
      </c>
      <c r="G3" t="s">
        <v>16</v>
      </c>
      <c r="H3">
        <v>5</v>
      </c>
      <c r="I3">
        <v>12500</v>
      </c>
      <c r="J3">
        <v>7500</v>
      </c>
      <c r="K3" t="s">
        <v>22</v>
      </c>
    </row>
    <row r="4" spans="1:11" x14ac:dyDescent="0.35">
      <c r="A4">
        <v>1003</v>
      </c>
      <c r="B4" t="s">
        <v>23</v>
      </c>
      <c r="C4" t="s">
        <v>24</v>
      </c>
      <c r="D4" t="s">
        <v>25</v>
      </c>
      <c r="E4" t="s">
        <v>26</v>
      </c>
      <c r="F4" t="s">
        <v>27</v>
      </c>
      <c r="G4" t="s">
        <v>135</v>
      </c>
      <c r="H4">
        <v>2</v>
      </c>
      <c r="I4">
        <v>30000</v>
      </c>
      <c r="J4">
        <v>21000</v>
      </c>
      <c r="K4" t="s">
        <v>28</v>
      </c>
    </row>
    <row r="5" spans="1:11" x14ac:dyDescent="0.35">
      <c r="A5">
        <v>1004</v>
      </c>
      <c r="B5" t="s">
        <v>29</v>
      </c>
      <c r="C5" t="s">
        <v>30</v>
      </c>
      <c r="D5" t="s">
        <v>31</v>
      </c>
      <c r="E5" t="s">
        <v>14</v>
      </c>
      <c r="F5" t="s">
        <v>32</v>
      </c>
      <c r="G5" t="s">
        <v>16</v>
      </c>
      <c r="H5">
        <v>4</v>
      </c>
      <c r="I5">
        <v>20000</v>
      </c>
      <c r="J5">
        <v>12000</v>
      </c>
      <c r="K5" t="s">
        <v>33</v>
      </c>
    </row>
    <row r="6" spans="1:11" x14ac:dyDescent="0.35">
      <c r="A6">
        <v>1005</v>
      </c>
      <c r="B6" t="s">
        <v>34</v>
      </c>
      <c r="C6" t="s">
        <v>35</v>
      </c>
      <c r="D6" t="s">
        <v>36</v>
      </c>
      <c r="E6" t="s">
        <v>26</v>
      </c>
      <c r="F6" t="s">
        <v>15</v>
      </c>
      <c r="G6" t="s">
        <v>136</v>
      </c>
      <c r="H6">
        <v>1</v>
      </c>
      <c r="I6">
        <v>45000</v>
      </c>
      <c r="J6">
        <v>32000</v>
      </c>
      <c r="K6" t="s">
        <v>37</v>
      </c>
    </row>
    <row r="7" spans="1:11" x14ac:dyDescent="0.35">
      <c r="A7">
        <v>1006</v>
      </c>
      <c r="B7" t="s">
        <v>38</v>
      </c>
      <c r="C7" t="s">
        <v>39</v>
      </c>
      <c r="D7" t="s">
        <v>40</v>
      </c>
      <c r="E7" t="s">
        <v>14</v>
      </c>
      <c r="F7" t="s">
        <v>15</v>
      </c>
      <c r="G7" t="s">
        <v>16</v>
      </c>
      <c r="H7">
        <v>2</v>
      </c>
      <c r="I7">
        <v>70000</v>
      </c>
      <c r="J7">
        <v>50000</v>
      </c>
      <c r="K7" t="s">
        <v>17</v>
      </c>
    </row>
    <row r="8" spans="1:11" x14ac:dyDescent="0.35">
      <c r="A8">
        <v>1007</v>
      </c>
      <c r="B8" t="s">
        <v>41</v>
      </c>
      <c r="C8" t="s">
        <v>42</v>
      </c>
      <c r="D8" t="s">
        <v>43</v>
      </c>
      <c r="E8" t="s">
        <v>14</v>
      </c>
      <c r="F8" t="s">
        <v>21</v>
      </c>
      <c r="G8" t="s">
        <v>135</v>
      </c>
      <c r="H8">
        <v>3</v>
      </c>
      <c r="I8">
        <v>18000</v>
      </c>
      <c r="J8">
        <v>10500</v>
      </c>
      <c r="K8" t="s">
        <v>44</v>
      </c>
    </row>
    <row r="9" spans="1:11" x14ac:dyDescent="0.35">
      <c r="A9">
        <v>1008</v>
      </c>
      <c r="B9" t="s">
        <v>45</v>
      </c>
      <c r="C9" t="s">
        <v>46</v>
      </c>
      <c r="D9" t="s">
        <v>47</v>
      </c>
      <c r="E9" t="s">
        <v>26</v>
      </c>
      <c r="F9" t="s">
        <v>27</v>
      </c>
      <c r="G9" t="s">
        <v>135</v>
      </c>
      <c r="H9">
        <v>1</v>
      </c>
      <c r="I9">
        <v>22000</v>
      </c>
      <c r="J9">
        <v>15500</v>
      </c>
      <c r="K9" t="s">
        <v>48</v>
      </c>
    </row>
    <row r="10" spans="1:11" x14ac:dyDescent="0.35">
      <c r="A10">
        <v>1009</v>
      </c>
      <c r="B10" t="s">
        <v>49</v>
      </c>
      <c r="C10" t="s">
        <v>50</v>
      </c>
      <c r="D10" t="s">
        <v>13</v>
      </c>
      <c r="E10" t="s">
        <v>14</v>
      </c>
      <c r="F10" t="s">
        <v>32</v>
      </c>
      <c r="G10" t="s">
        <v>16</v>
      </c>
      <c r="H10">
        <v>1</v>
      </c>
      <c r="I10">
        <v>60000</v>
      </c>
      <c r="J10">
        <v>45000</v>
      </c>
      <c r="K10" t="s">
        <v>51</v>
      </c>
    </row>
    <row r="11" spans="1:11" x14ac:dyDescent="0.35">
      <c r="A11">
        <v>1010</v>
      </c>
      <c r="B11" t="s">
        <v>52</v>
      </c>
      <c r="C11" t="s">
        <v>53</v>
      </c>
      <c r="D11" t="s">
        <v>20</v>
      </c>
      <c r="E11" t="s">
        <v>14</v>
      </c>
      <c r="F11" t="s">
        <v>21</v>
      </c>
      <c r="G11" t="s">
        <v>136</v>
      </c>
      <c r="H11">
        <v>8</v>
      </c>
      <c r="I11">
        <v>20000</v>
      </c>
      <c r="J11">
        <v>12000</v>
      </c>
      <c r="K11" t="s">
        <v>54</v>
      </c>
    </row>
    <row r="12" spans="1:11" x14ac:dyDescent="0.35">
      <c r="A12">
        <v>1011</v>
      </c>
      <c r="B12" t="s">
        <v>55</v>
      </c>
      <c r="C12" t="s">
        <v>56</v>
      </c>
      <c r="D12" t="s">
        <v>36</v>
      </c>
      <c r="E12" t="s">
        <v>26</v>
      </c>
      <c r="F12" t="s">
        <v>15</v>
      </c>
      <c r="G12" t="s">
        <v>136</v>
      </c>
      <c r="H12">
        <v>2</v>
      </c>
      <c r="I12">
        <v>90000</v>
      </c>
      <c r="J12">
        <v>64000</v>
      </c>
      <c r="K12" t="s">
        <v>57</v>
      </c>
    </row>
    <row r="13" spans="1:11" x14ac:dyDescent="0.35">
      <c r="A13">
        <v>1012</v>
      </c>
      <c r="B13" t="s">
        <v>18</v>
      </c>
      <c r="C13" t="s">
        <v>58</v>
      </c>
      <c r="D13" t="s">
        <v>40</v>
      </c>
      <c r="E13" t="s">
        <v>14</v>
      </c>
      <c r="F13" t="s">
        <v>21</v>
      </c>
      <c r="G13" t="s">
        <v>16</v>
      </c>
      <c r="H13">
        <v>1</v>
      </c>
      <c r="I13">
        <v>35000</v>
      </c>
      <c r="J13">
        <v>25000</v>
      </c>
      <c r="K13" t="s">
        <v>22</v>
      </c>
    </row>
    <row r="14" spans="1:11" x14ac:dyDescent="0.35">
      <c r="A14">
        <v>1013</v>
      </c>
      <c r="B14" t="s">
        <v>23</v>
      </c>
      <c r="C14" t="s">
        <v>59</v>
      </c>
      <c r="D14" t="s">
        <v>13</v>
      </c>
      <c r="E14" t="s">
        <v>14</v>
      </c>
      <c r="F14" t="s">
        <v>27</v>
      </c>
      <c r="G14" t="s">
        <v>135</v>
      </c>
      <c r="H14">
        <v>2</v>
      </c>
      <c r="I14">
        <v>120000</v>
      </c>
      <c r="J14">
        <v>90000</v>
      </c>
      <c r="K14" t="s">
        <v>28</v>
      </c>
    </row>
    <row r="15" spans="1:11" x14ac:dyDescent="0.35">
      <c r="A15">
        <v>1014</v>
      </c>
      <c r="B15" t="s">
        <v>29</v>
      </c>
      <c r="C15" t="s">
        <v>60</v>
      </c>
      <c r="D15" t="s">
        <v>25</v>
      </c>
      <c r="E15" t="s">
        <v>26</v>
      </c>
      <c r="F15" t="s">
        <v>32</v>
      </c>
      <c r="G15" t="s">
        <v>16</v>
      </c>
      <c r="H15">
        <v>3</v>
      </c>
      <c r="I15">
        <v>45000</v>
      </c>
      <c r="J15">
        <v>31500</v>
      </c>
      <c r="K15" t="s">
        <v>33</v>
      </c>
    </row>
    <row r="16" spans="1:11" x14ac:dyDescent="0.35">
      <c r="A16">
        <v>1015</v>
      </c>
      <c r="B16" t="s">
        <v>34</v>
      </c>
      <c r="C16" t="s">
        <v>61</v>
      </c>
      <c r="D16" t="s">
        <v>31</v>
      </c>
      <c r="E16" t="s">
        <v>14</v>
      </c>
      <c r="F16" t="s">
        <v>15</v>
      </c>
      <c r="G16" t="s">
        <v>16</v>
      </c>
      <c r="H16">
        <v>6</v>
      </c>
      <c r="I16">
        <v>30000</v>
      </c>
      <c r="J16">
        <v>18000</v>
      </c>
      <c r="K16" t="s">
        <v>37</v>
      </c>
    </row>
    <row r="17" spans="1:11" x14ac:dyDescent="0.35">
      <c r="A17">
        <v>1016</v>
      </c>
      <c r="B17" t="s">
        <v>41</v>
      </c>
      <c r="C17" t="s">
        <v>62</v>
      </c>
      <c r="D17" t="s">
        <v>43</v>
      </c>
      <c r="E17" t="s">
        <v>14</v>
      </c>
      <c r="F17" t="s">
        <v>21</v>
      </c>
      <c r="G17" t="s">
        <v>135</v>
      </c>
      <c r="H17">
        <v>5</v>
      </c>
      <c r="I17">
        <v>30000</v>
      </c>
      <c r="J17">
        <v>17500</v>
      </c>
      <c r="K17" t="s">
        <v>44</v>
      </c>
    </row>
    <row r="18" spans="1:11" x14ac:dyDescent="0.35">
      <c r="A18">
        <v>1017</v>
      </c>
      <c r="B18" t="s">
        <v>45</v>
      </c>
      <c r="C18" t="s">
        <v>63</v>
      </c>
      <c r="D18" t="s">
        <v>47</v>
      </c>
      <c r="E18" t="s">
        <v>26</v>
      </c>
      <c r="F18" t="s">
        <v>27</v>
      </c>
      <c r="G18" t="s">
        <v>16</v>
      </c>
      <c r="H18">
        <v>2</v>
      </c>
      <c r="I18">
        <v>44000</v>
      </c>
      <c r="J18">
        <v>31000</v>
      </c>
      <c r="K18" t="s">
        <v>48</v>
      </c>
    </row>
    <row r="19" spans="1:11" x14ac:dyDescent="0.35">
      <c r="A19">
        <v>1018</v>
      </c>
      <c r="B19" t="s">
        <v>49</v>
      </c>
      <c r="C19" t="s">
        <v>64</v>
      </c>
      <c r="D19" t="s">
        <v>13</v>
      </c>
      <c r="E19" t="s">
        <v>14</v>
      </c>
      <c r="F19" t="s">
        <v>32</v>
      </c>
      <c r="G19" t="s">
        <v>136</v>
      </c>
      <c r="H19">
        <v>1</v>
      </c>
      <c r="I19">
        <v>60000</v>
      </c>
      <c r="J19">
        <v>45000</v>
      </c>
      <c r="K19" t="s">
        <v>51</v>
      </c>
    </row>
    <row r="20" spans="1:11" x14ac:dyDescent="0.35">
      <c r="A20">
        <v>1019</v>
      </c>
      <c r="B20" t="s">
        <v>52</v>
      </c>
      <c r="C20" t="s">
        <v>65</v>
      </c>
      <c r="D20" t="s">
        <v>20</v>
      </c>
      <c r="E20" t="s">
        <v>14</v>
      </c>
      <c r="F20" t="s">
        <v>21</v>
      </c>
      <c r="G20" t="s">
        <v>135</v>
      </c>
      <c r="H20">
        <v>10</v>
      </c>
      <c r="I20">
        <v>25000</v>
      </c>
      <c r="J20">
        <v>15000</v>
      </c>
      <c r="K20" t="s">
        <v>54</v>
      </c>
    </row>
    <row r="21" spans="1:11" x14ac:dyDescent="0.35">
      <c r="A21">
        <v>1020</v>
      </c>
      <c r="B21" t="s">
        <v>55</v>
      </c>
      <c r="C21" t="s">
        <v>66</v>
      </c>
      <c r="D21" t="s">
        <v>36</v>
      </c>
      <c r="E21" t="s">
        <v>26</v>
      </c>
      <c r="F21" t="s">
        <v>15</v>
      </c>
      <c r="G21" t="s">
        <v>16</v>
      </c>
      <c r="H21">
        <v>1</v>
      </c>
      <c r="I21">
        <v>45000</v>
      </c>
      <c r="J21">
        <v>32000</v>
      </c>
      <c r="K21" t="s">
        <v>57</v>
      </c>
    </row>
    <row r="22" spans="1:11" x14ac:dyDescent="0.35">
      <c r="A22">
        <v>1021</v>
      </c>
      <c r="B22" t="s">
        <v>38</v>
      </c>
      <c r="C22" t="s">
        <v>67</v>
      </c>
      <c r="D22" t="s">
        <v>40</v>
      </c>
      <c r="E22" t="s">
        <v>14</v>
      </c>
      <c r="F22" t="s">
        <v>15</v>
      </c>
      <c r="G22" t="s">
        <v>16</v>
      </c>
      <c r="H22">
        <v>3</v>
      </c>
      <c r="I22">
        <v>105000</v>
      </c>
      <c r="J22">
        <v>75000</v>
      </c>
      <c r="K22" t="s">
        <v>17</v>
      </c>
    </row>
    <row r="23" spans="1:11" x14ac:dyDescent="0.35">
      <c r="A23">
        <v>1022</v>
      </c>
      <c r="B23" t="s">
        <v>18</v>
      </c>
      <c r="C23" t="s">
        <v>68</v>
      </c>
      <c r="D23" t="s">
        <v>31</v>
      </c>
      <c r="E23" t="s">
        <v>14</v>
      </c>
      <c r="F23" t="s">
        <v>21</v>
      </c>
      <c r="G23" t="s">
        <v>136</v>
      </c>
      <c r="H23">
        <v>4</v>
      </c>
      <c r="I23">
        <v>20000</v>
      </c>
      <c r="J23">
        <v>12000</v>
      </c>
      <c r="K23" t="s">
        <v>22</v>
      </c>
    </row>
    <row r="24" spans="1:11" x14ac:dyDescent="0.35">
      <c r="A24">
        <v>1023</v>
      </c>
      <c r="B24" t="s">
        <v>23</v>
      </c>
      <c r="C24" t="s">
        <v>69</v>
      </c>
      <c r="D24" t="s">
        <v>25</v>
      </c>
      <c r="E24" t="s">
        <v>26</v>
      </c>
      <c r="F24" t="s">
        <v>27</v>
      </c>
      <c r="G24" t="s">
        <v>135</v>
      </c>
      <c r="H24">
        <v>2</v>
      </c>
      <c r="I24">
        <v>30000</v>
      </c>
      <c r="J24">
        <v>21000</v>
      </c>
      <c r="K24" t="s">
        <v>28</v>
      </c>
    </row>
    <row r="25" spans="1:11" x14ac:dyDescent="0.35">
      <c r="A25">
        <v>1024</v>
      </c>
      <c r="B25" t="s">
        <v>29</v>
      </c>
      <c r="C25" t="s">
        <v>70</v>
      </c>
      <c r="D25" t="s">
        <v>13</v>
      </c>
      <c r="E25" t="s">
        <v>14</v>
      </c>
      <c r="F25" t="s">
        <v>32</v>
      </c>
      <c r="G25" t="s">
        <v>16</v>
      </c>
      <c r="H25">
        <v>1</v>
      </c>
      <c r="I25">
        <v>60000</v>
      </c>
      <c r="J25">
        <v>45000</v>
      </c>
      <c r="K25" t="s">
        <v>33</v>
      </c>
    </row>
    <row r="26" spans="1:11" x14ac:dyDescent="0.35">
      <c r="A26">
        <v>1025</v>
      </c>
      <c r="B26" t="s">
        <v>34</v>
      </c>
      <c r="C26" t="s">
        <v>71</v>
      </c>
      <c r="D26" t="s">
        <v>36</v>
      </c>
      <c r="E26" t="s">
        <v>26</v>
      </c>
      <c r="F26" t="s">
        <v>15</v>
      </c>
      <c r="G26" t="s">
        <v>135</v>
      </c>
      <c r="H26">
        <v>2</v>
      </c>
      <c r="I26">
        <v>90000</v>
      </c>
      <c r="J26">
        <v>64000</v>
      </c>
      <c r="K26" t="s">
        <v>37</v>
      </c>
    </row>
    <row r="27" spans="1:11" x14ac:dyDescent="0.35">
      <c r="A27">
        <v>1026</v>
      </c>
      <c r="B27" t="s">
        <v>41</v>
      </c>
      <c r="C27" t="s">
        <v>72</v>
      </c>
      <c r="D27" t="s">
        <v>43</v>
      </c>
      <c r="E27" t="s">
        <v>14</v>
      </c>
      <c r="F27" t="s">
        <v>21</v>
      </c>
      <c r="G27" t="s">
        <v>136</v>
      </c>
      <c r="H27">
        <v>4</v>
      </c>
      <c r="I27">
        <v>24000</v>
      </c>
      <c r="J27">
        <v>14000</v>
      </c>
      <c r="K27" t="s">
        <v>44</v>
      </c>
    </row>
    <row r="28" spans="1:11" x14ac:dyDescent="0.35">
      <c r="A28">
        <v>1027</v>
      </c>
      <c r="B28" t="s">
        <v>45</v>
      </c>
      <c r="C28" t="s">
        <v>73</v>
      </c>
      <c r="D28" t="s">
        <v>47</v>
      </c>
      <c r="E28" t="s">
        <v>26</v>
      </c>
      <c r="F28" t="s">
        <v>27</v>
      </c>
      <c r="G28" t="s">
        <v>16</v>
      </c>
      <c r="H28">
        <v>3</v>
      </c>
      <c r="I28">
        <v>66000</v>
      </c>
      <c r="J28">
        <v>46500</v>
      </c>
      <c r="K28" t="s">
        <v>48</v>
      </c>
    </row>
    <row r="29" spans="1:11" x14ac:dyDescent="0.35">
      <c r="A29">
        <v>1028</v>
      </c>
      <c r="B29" t="s">
        <v>49</v>
      </c>
      <c r="C29" t="s">
        <v>74</v>
      </c>
      <c r="D29" t="s">
        <v>13</v>
      </c>
      <c r="E29" t="s">
        <v>14</v>
      </c>
      <c r="F29" t="s">
        <v>32</v>
      </c>
      <c r="G29" t="s">
        <v>16</v>
      </c>
      <c r="H29">
        <v>2</v>
      </c>
      <c r="I29">
        <v>120000</v>
      </c>
      <c r="J29">
        <v>90000</v>
      </c>
      <c r="K29" t="s">
        <v>51</v>
      </c>
    </row>
    <row r="30" spans="1:11" x14ac:dyDescent="0.35">
      <c r="A30">
        <v>1029</v>
      </c>
      <c r="B30" t="s">
        <v>52</v>
      </c>
      <c r="C30" t="s">
        <v>75</v>
      </c>
      <c r="D30" t="s">
        <v>20</v>
      </c>
      <c r="E30" t="s">
        <v>14</v>
      </c>
      <c r="F30" t="s">
        <v>21</v>
      </c>
      <c r="G30" t="s">
        <v>16</v>
      </c>
      <c r="H30">
        <v>6</v>
      </c>
      <c r="I30">
        <v>15000</v>
      </c>
      <c r="J30">
        <v>9000</v>
      </c>
      <c r="K30" t="s">
        <v>54</v>
      </c>
    </row>
    <row r="31" spans="1:11" x14ac:dyDescent="0.35">
      <c r="A31">
        <v>1030</v>
      </c>
      <c r="B31" t="s">
        <v>55</v>
      </c>
      <c r="C31" t="s">
        <v>76</v>
      </c>
      <c r="D31" t="s">
        <v>36</v>
      </c>
      <c r="E31" t="s">
        <v>26</v>
      </c>
      <c r="F31" t="s">
        <v>15</v>
      </c>
      <c r="G31" t="s">
        <v>16</v>
      </c>
      <c r="H31">
        <v>1</v>
      </c>
      <c r="I31">
        <v>45000</v>
      </c>
      <c r="J31">
        <v>32000</v>
      </c>
      <c r="K31" t="s">
        <v>57</v>
      </c>
    </row>
    <row r="32" spans="1:11" x14ac:dyDescent="0.35">
      <c r="A32">
        <v>1031</v>
      </c>
      <c r="B32" t="s">
        <v>38</v>
      </c>
      <c r="C32" t="s">
        <v>77</v>
      </c>
      <c r="D32" t="s">
        <v>40</v>
      </c>
      <c r="E32" t="s">
        <v>14</v>
      </c>
      <c r="F32" t="s">
        <v>15</v>
      </c>
      <c r="G32" t="s">
        <v>136</v>
      </c>
      <c r="H32">
        <v>1</v>
      </c>
      <c r="I32">
        <v>35000</v>
      </c>
      <c r="J32">
        <v>25000</v>
      </c>
      <c r="K32" t="s">
        <v>17</v>
      </c>
    </row>
    <row r="33" spans="1:11" x14ac:dyDescent="0.35">
      <c r="A33">
        <v>1032</v>
      </c>
      <c r="B33" t="s">
        <v>18</v>
      </c>
      <c r="C33" t="s">
        <v>78</v>
      </c>
      <c r="D33" t="s">
        <v>31</v>
      </c>
      <c r="E33" t="s">
        <v>14</v>
      </c>
      <c r="F33" t="s">
        <v>21</v>
      </c>
      <c r="G33" t="s">
        <v>136</v>
      </c>
      <c r="H33">
        <v>7</v>
      </c>
      <c r="I33">
        <v>35000</v>
      </c>
      <c r="J33">
        <v>21000</v>
      </c>
      <c r="K33" t="s">
        <v>22</v>
      </c>
    </row>
    <row r="34" spans="1:11" x14ac:dyDescent="0.35">
      <c r="A34">
        <v>1033</v>
      </c>
      <c r="B34" t="s">
        <v>23</v>
      </c>
      <c r="C34" t="s">
        <v>79</v>
      </c>
      <c r="D34" t="s">
        <v>25</v>
      </c>
      <c r="E34" t="s">
        <v>26</v>
      </c>
      <c r="F34" t="s">
        <v>27</v>
      </c>
      <c r="G34" t="s">
        <v>136</v>
      </c>
      <c r="H34">
        <v>4</v>
      </c>
      <c r="I34">
        <v>60000</v>
      </c>
      <c r="J34">
        <v>42000</v>
      </c>
      <c r="K34" t="s">
        <v>28</v>
      </c>
    </row>
    <row r="35" spans="1:11" x14ac:dyDescent="0.35">
      <c r="A35">
        <v>1034</v>
      </c>
      <c r="B35" t="s">
        <v>29</v>
      </c>
      <c r="C35" t="s">
        <v>80</v>
      </c>
      <c r="D35" t="s">
        <v>13</v>
      </c>
      <c r="E35" t="s">
        <v>14</v>
      </c>
      <c r="F35" t="s">
        <v>32</v>
      </c>
      <c r="G35" t="s">
        <v>16</v>
      </c>
      <c r="H35">
        <v>2</v>
      </c>
      <c r="I35">
        <v>120000</v>
      </c>
      <c r="J35">
        <v>90000</v>
      </c>
      <c r="K35" t="s">
        <v>33</v>
      </c>
    </row>
    <row r="36" spans="1:11" x14ac:dyDescent="0.35">
      <c r="A36">
        <v>1035</v>
      </c>
      <c r="B36" t="s">
        <v>34</v>
      </c>
      <c r="C36" t="s">
        <v>81</v>
      </c>
      <c r="D36" t="s">
        <v>36</v>
      </c>
      <c r="E36" t="s">
        <v>26</v>
      </c>
      <c r="F36" t="s">
        <v>15</v>
      </c>
      <c r="G36" t="s">
        <v>16</v>
      </c>
      <c r="H36">
        <v>1</v>
      </c>
      <c r="I36">
        <v>45000</v>
      </c>
      <c r="J36">
        <v>32000</v>
      </c>
      <c r="K36" t="s">
        <v>37</v>
      </c>
    </row>
    <row r="37" spans="1:11" x14ac:dyDescent="0.35">
      <c r="A37">
        <v>1036</v>
      </c>
      <c r="B37" t="s">
        <v>41</v>
      </c>
      <c r="C37" t="s">
        <v>82</v>
      </c>
      <c r="D37" t="s">
        <v>43</v>
      </c>
      <c r="E37" t="s">
        <v>14</v>
      </c>
      <c r="F37" t="s">
        <v>21</v>
      </c>
      <c r="G37" t="s">
        <v>16</v>
      </c>
      <c r="H37">
        <v>6</v>
      </c>
      <c r="I37">
        <v>36000</v>
      </c>
      <c r="J37">
        <v>21000</v>
      </c>
      <c r="K37" t="s">
        <v>44</v>
      </c>
    </row>
    <row r="38" spans="1:11" x14ac:dyDescent="0.35">
      <c r="A38">
        <v>1037</v>
      </c>
      <c r="B38" t="s">
        <v>45</v>
      </c>
      <c r="C38" t="s">
        <v>83</v>
      </c>
      <c r="D38" t="s">
        <v>47</v>
      </c>
      <c r="E38" t="s">
        <v>26</v>
      </c>
      <c r="F38" t="s">
        <v>27</v>
      </c>
      <c r="G38" t="s">
        <v>16</v>
      </c>
      <c r="H38">
        <v>2</v>
      </c>
      <c r="I38">
        <v>44000</v>
      </c>
      <c r="J38">
        <v>31000</v>
      </c>
      <c r="K38" t="s">
        <v>48</v>
      </c>
    </row>
    <row r="39" spans="1:11" x14ac:dyDescent="0.35">
      <c r="A39">
        <v>1038</v>
      </c>
      <c r="B39" t="s">
        <v>49</v>
      </c>
      <c r="C39" t="s">
        <v>84</v>
      </c>
      <c r="D39" t="s">
        <v>13</v>
      </c>
      <c r="E39" t="s">
        <v>14</v>
      </c>
      <c r="F39" t="s">
        <v>32</v>
      </c>
      <c r="G39" t="s">
        <v>16</v>
      </c>
      <c r="H39">
        <v>1</v>
      </c>
      <c r="I39">
        <v>60000</v>
      </c>
      <c r="J39">
        <v>45000</v>
      </c>
      <c r="K39" t="s">
        <v>51</v>
      </c>
    </row>
    <row r="40" spans="1:11" x14ac:dyDescent="0.35">
      <c r="A40">
        <v>1039</v>
      </c>
      <c r="B40" t="s">
        <v>52</v>
      </c>
      <c r="C40" t="s">
        <v>85</v>
      </c>
      <c r="D40" t="s">
        <v>20</v>
      </c>
      <c r="E40" t="s">
        <v>14</v>
      </c>
      <c r="F40" t="s">
        <v>21</v>
      </c>
      <c r="G40" t="s">
        <v>135</v>
      </c>
      <c r="H40">
        <v>9</v>
      </c>
      <c r="I40">
        <v>22500</v>
      </c>
      <c r="J40">
        <v>13500</v>
      </c>
      <c r="K40" t="s">
        <v>54</v>
      </c>
    </row>
    <row r="41" spans="1:11" x14ac:dyDescent="0.35">
      <c r="A41">
        <v>1040</v>
      </c>
      <c r="B41" t="s">
        <v>55</v>
      </c>
      <c r="C41" t="s">
        <v>86</v>
      </c>
      <c r="D41" t="s">
        <v>36</v>
      </c>
      <c r="E41" t="s">
        <v>26</v>
      </c>
      <c r="F41" t="s">
        <v>15</v>
      </c>
      <c r="G41" t="s">
        <v>135</v>
      </c>
      <c r="H41">
        <v>2</v>
      </c>
      <c r="I41">
        <v>90000</v>
      </c>
      <c r="J41">
        <v>64000</v>
      </c>
      <c r="K41" t="s">
        <v>57</v>
      </c>
    </row>
    <row r="42" spans="1:11" x14ac:dyDescent="0.35">
      <c r="A42">
        <v>1041</v>
      </c>
      <c r="B42" t="s">
        <v>38</v>
      </c>
      <c r="C42" t="s">
        <v>87</v>
      </c>
      <c r="D42" t="s">
        <v>40</v>
      </c>
      <c r="E42" t="s">
        <v>14</v>
      </c>
      <c r="F42" t="s">
        <v>15</v>
      </c>
      <c r="G42" t="s">
        <v>135</v>
      </c>
      <c r="H42">
        <v>2</v>
      </c>
      <c r="I42">
        <v>70000</v>
      </c>
      <c r="J42">
        <v>50000</v>
      </c>
      <c r="K42" t="s">
        <v>17</v>
      </c>
    </row>
    <row r="43" spans="1:11" x14ac:dyDescent="0.35">
      <c r="A43">
        <v>1042</v>
      </c>
      <c r="B43" t="s">
        <v>18</v>
      </c>
      <c r="C43" t="s">
        <v>88</v>
      </c>
      <c r="D43" t="s">
        <v>31</v>
      </c>
      <c r="E43" t="s">
        <v>14</v>
      </c>
      <c r="F43" t="s">
        <v>21</v>
      </c>
      <c r="G43" t="s">
        <v>16</v>
      </c>
      <c r="H43">
        <v>5</v>
      </c>
      <c r="I43">
        <v>25000</v>
      </c>
      <c r="J43">
        <v>15000</v>
      </c>
      <c r="K43" t="s">
        <v>22</v>
      </c>
    </row>
    <row r="44" spans="1:11" x14ac:dyDescent="0.35">
      <c r="A44">
        <v>1043</v>
      </c>
      <c r="B44" t="s">
        <v>23</v>
      </c>
      <c r="C44" t="s">
        <v>89</v>
      </c>
      <c r="D44" t="s">
        <v>25</v>
      </c>
      <c r="E44" t="s">
        <v>26</v>
      </c>
      <c r="F44" t="s">
        <v>27</v>
      </c>
      <c r="G44" t="s">
        <v>16</v>
      </c>
      <c r="H44">
        <v>1</v>
      </c>
      <c r="I44">
        <v>15000</v>
      </c>
      <c r="J44">
        <v>10500</v>
      </c>
      <c r="K44" t="s">
        <v>28</v>
      </c>
    </row>
    <row r="45" spans="1:11" x14ac:dyDescent="0.35">
      <c r="A45">
        <v>1044</v>
      </c>
      <c r="B45" t="s">
        <v>29</v>
      </c>
      <c r="C45" t="s">
        <v>90</v>
      </c>
      <c r="D45" t="s">
        <v>13</v>
      </c>
      <c r="E45" t="s">
        <v>14</v>
      </c>
      <c r="F45" t="s">
        <v>32</v>
      </c>
      <c r="G45" t="s">
        <v>16</v>
      </c>
      <c r="H45">
        <v>3</v>
      </c>
      <c r="I45">
        <v>180000</v>
      </c>
      <c r="J45">
        <v>135000</v>
      </c>
      <c r="K45" t="s">
        <v>33</v>
      </c>
    </row>
    <row r="46" spans="1:11" x14ac:dyDescent="0.35">
      <c r="A46">
        <v>1045</v>
      </c>
      <c r="B46" t="s">
        <v>34</v>
      </c>
      <c r="C46" t="s">
        <v>91</v>
      </c>
      <c r="D46" t="s">
        <v>36</v>
      </c>
      <c r="E46" t="s">
        <v>26</v>
      </c>
      <c r="F46" t="s">
        <v>15</v>
      </c>
      <c r="G46" t="s">
        <v>135</v>
      </c>
      <c r="H46">
        <v>1</v>
      </c>
      <c r="I46">
        <v>45000</v>
      </c>
      <c r="J46">
        <v>32000</v>
      </c>
      <c r="K46" t="s">
        <v>37</v>
      </c>
    </row>
    <row r="47" spans="1:11" x14ac:dyDescent="0.35">
      <c r="A47">
        <v>1046</v>
      </c>
      <c r="B47" t="s">
        <v>41</v>
      </c>
      <c r="C47" t="s">
        <v>92</v>
      </c>
      <c r="D47" t="s">
        <v>43</v>
      </c>
      <c r="E47" t="s">
        <v>14</v>
      </c>
      <c r="F47" t="s">
        <v>21</v>
      </c>
      <c r="G47" t="s">
        <v>16</v>
      </c>
      <c r="H47">
        <v>2</v>
      </c>
      <c r="I47">
        <v>12000</v>
      </c>
      <c r="J47">
        <v>7000</v>
      </c>
      <c r="K47" t="s">
        <v>44</v>
      </c>
    </row>
    <row r="48" spans="1:11" x14ac:dyDescent="0.35">
      <c r="A48">
        <v>1047</v>
      </c>
      <c r="B48" t="s">
        <v>45</v>
      </c>
      <c r="C48" t="s">
        <v>93</v>
      </c>
      <c r="D48" t="s">
        <v>47</v>
      </c>
      <c r="E48" t="s">
        <v>26</v>
      </c>
      <c r="F48" t="s">
        <v>27</v>
      </c>
      <c r="G48" t="s">
        <v>136</v>
      </c>
      <c r="H48">
        <v>1</v>
      </c>
      <c r="I48">
        <v>22000</v>
      </c>
      <c r="J48">
        <v>15500</v>
      </c>
      <c r="K48" t="s">
        <v>48</v>
      </c>
    </row>
    <row r="49" spans="1:11" x14ac:dyDescent="0.35">
      <c r="A49">
        <v>1048</v>
      </c>
      <c r="B49" t="s">
        <v>49</v>
      </c>
      <c r="C49" t="s">
        <v>94</v>
      </c>
      <c r="D49" t="s">
        <v>13</v>
      </c>
      <c r="E49" t="s">
        <v>14</v>
      </c>
      <c r="F49" t="s">
        <v>32</v>
      </c>
      <c r="G49" t="s">
        <v>16</v>
      </c>
      <c r="H49">
        <v>1</v>
      </c>
      <c r="I49">
        <v>60000</v>
      </c>
      <c r="J49">
        <v>45000</v>
      </c>
      <c r="K49" t="s">
        <v>51</v>
      </c>
    </row>
  </sheetData>
  <conditionalFormatting sqref="C6">
    <cfRule type="duplicateValues" dxfId="21" priority="1"/>
  </conditionalFormatting>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A045D-6D98-45F0-99CA-C98FA8795F7A}">
  <dimension ref="A1:P49"/>
  <sheetViews>
    <sheetView workbookViewId="0">
      <selection activeCell="R6" sqref="R6"/>
    </sheetView>
  </sheetViews>
  <sheetFormatPr defaultRowHeight="14.5" x14ac:dyDescent="0.35"/>
  <cols>
    <col min="1" max="1" width="10.26953125" bestFit="1" customWidth="1"/>
    <col min="2" max="2" width="13.54296875" bestFit="1" customWidth="1"/>
    <col min="3" max="3" width="12.453125" bestFit="1" customWidth="1"/>
    <col min="4" max="4" width="11.36328125" bestFit="1" customWidth="1"/>
    <col min="5" max="5" width="10.54296875" bestFit="1" customWidth="1"/>
    <col min="7" max="8" width="10.453125" bestFit="1" customWidth="1"/>
    <col min="9" max="9" width="7.26953125" bestFit="1" customWidth="1"/>
    <col min="10" max="10" width="6.81640625" bestFit="1" customWidth="1"/>
    <col min="11" max="11" width="7.81640625" bestFit="1" customWidth="1"/>
    <col min="12" max="12" width="14.1796875" style="4" bestFit="1" customWidth="1"/>
    <col min="13" max="13" width="8.81640625" bestFit="1" customWidth="1"/>
    <col min="14" max="14" width="16.7265625" bestFit="1" customWidth="1"/>
    <col min="15" max="15" width="9.6328125" bestFit="1" customWidth="1"/>
    <col min="16" max="16" width="20" bestFit="1" customWidth="1"/>
  </cols>
  <sheetData>
    <row r="1" spans="1:16" x14ac:dyDescent="0.35">
      <c r="A1" t="s">
        <v>0</v>
      </c>
      <c r="B1" t="s">
        <v>1</v>
      </c>
      <c r="C1" t="s">
        <v>2</v>
      </c>
      <c r="D1" t="s">
        <v>3</v>
      </c>
      <c r="E1" t="s">
        <v>4</v>
      </c>
      <c r="F1" t="s">
        <v>5</v>
      </c>
      <c r="G1" t="s">
        <v>6</v>
      </c>
      <c r="H1" t="s">
        <v>7</v>
      </c>
      <c r="I1" t="s">
        <v>8</v>
      </c>
      <c r="J1" t="s">
        <v>9</v>
      </c>
      <c r="K1" t="s">
        <v>115</v>
      </c>
      <c r="L1" s="4" t="s">
        <v>116</v>
      </c>
      <c r="M1" t="s">
        <v>117</v>
      </c>
      <c r="N1" t="s">
        <v>95</v>
      </c>
      <c r="O1" t="s">
        <v>97</v>
      </c>
      <c r="P1" t="s">
        <v>144</v>
      </c>
    </row>
    <row r="2" spans="1:16" x14ac:dyDescent="0.35">
      <c r="A2">
        <v>1001</v>
      </c>
      <c r="B2" s="2" t="s">
        <v>38</v>
      </c>
      <c r="C2" s="3">
        <v>46025</v>
      </c>
      <c r="D2" s="2" t="s">
        <v>13</v>
      </c>
      <c r="E2" s="2" t="s">
        <v>14</v>
      </c>
      <c r="F2" s="2" t="s">
        <v>15</v>
      </c>
      <c r="G2" s="2" t="s">
        <v>16</v>
      </c>
      <c r="H2">
        <v>2</v>
      </c>
      <c r="I2">
        <v>120000</v>
      </c>
      <c r="J2">
        <v>90000</v>
      </c>
      <c r="K2">
        <v>30000</v>
      </c>
      <c r="L2" s="4">
        <v>0.25</v>
      </c>
      <c r="M2" s="2" t="s">
        <v>118</v>
      </c>
      <c r="N2" s="2" t="s">
        <v>17</v>
      </c>
      <c r="O2" s="2" t="s">
        <v>99</v>
      </c>
      <c r="P2" t="s">
        <v>145</v>
      </c>
    </row>
    <row r="3" spans="1:16" x14ac:dyDescent="0.35">
      <c r="A3">
        <v>1006</v>
      </c>
      <c r="B3" s="2" t="s">
        <v>38</v>
      </c>
      <c r="C3" s="3">
        <v>46041</v>
      </c>
      <c r="D3" s="2" t="s">
        <v>40</v>
      </c>
      <c r="E3" s="2" t="s">
        <v>14</v>
      </c>
      <c r="F3" s="2" t="s">
        <v>15</v>
      </c>
      <c r="G3" s="2" t="s">
        <v>16</v>
      </c>
      <c r="H3">
        <v>2</v>
      </c>
      <c r="I3">
        <v>70000</v>
      </c>
      <c r="J3">
        <v>50000</v>
      </c>
      <c r="K3">
        <v>20000</v>
      </c>
      <c r="L3" s="4">
        <v>0.28571428571428598</v>
      </c>
      <c r="M3" s="2" t="s">
        <v>118</v>
      </c>
      <c r="N3" s="2" t="s">
        <v>17</v>
      </c>
      <c r="O3" s="2" t="s">
        <v>99</v>
      </c>
      <c r="P3" t="s">
        <v>154</v>
      </c>
    </row>
    <row r="4" spans="1:16" x14ac:dyDescent="0.35">
      <c r="A4">
        <v>1002</v>
      </c>
      <c r="B4" s="2" t="s">
        <v>18</v>
      </c>
      <c r="C4" s="3">
        <v>46027</v>
      </c>
      <c r="D4" s="2" t="s">
        <v>20</v>
      </c>
      <c r="E4" s="2" t="s">
        <v>14</v>
      </c>
      <c r="F4" s="2" t="s">
        <v>21</v>
      </c>
      <c r="G4" s="2" t="s">
        <v>16</v>
      </c>
      <c r="H4">
        <v>5</v>
      </c>
      <c r="I4">
        <v>12500</v>
      </c>
      <c r="J4">
        <v>7500</v>
      </c>
      <c r="K4">
        <v>5000</v>
      </c>
      <c r="L4" s="4">
        <v>0.4</v>
      </c>
      <c r="M4" s="2" t="s">
        <v>118</v>
      </c>
      <c r="N4" s="2" t="s">
        <v>22</v>
      </c>
      <c r="O4" s="2" t="s">
        <v>100</v>
      </c>
      <c r="P4" t="s">
        <v>148</v>
      </c>
    </row>
    <row r="5" spans="1:16" x14ac:dyDescent="0.35">
      <c r="A5">
        <v>1012</v>
      </c>
      <c r="B5" s="2" t="s">
        <v>18</v>
      </c>
      <c r="C5" s="3">
        <v>46062</v>
      </c>
      <c r="D5" s="2" t="s">
        <v>40</v>
      </c>
      <c r="E5" s="2" t="s">
        <v>14</v>
      </c>
      <c r="F5" s="2" t="s">
        <v>21</v>
      </c>
      <c r="G5" s="2" t="s">
        <v>16</v>
      </c>
      <c r="H5">
        <v>1</v>
      </c>
      <c r="I5">
        <v>35000</v>
      </c>
      <c r="J5">
        <v>25000</v>
      </c>
      <c r="K5">
        <v>10000</v>
      </c>
      <c r="L5" s="4">
        <v>0.28571428571428598</v>
      </c>
      <c r="M5" s="2" t="s">
        <v>119</v>
      </c>
      <c r="N5" s="2" t="s">
        <v>22</v>
      </c>
      <c r="O5" s="2" t="s">
        <v>100</v>
      </c>
      <c r="P5" t="s">
        <v>155</v>
      </c>
    </row>
    <row r="6" spans="1:16" x14ac:dyDescent="0.35">
      <c r="A6">
        <v>1003</v>
      </c>
      <c r="B6" s="2" t="s">
        <v>23</v>
      </c>
      <c r="C6" s="3">
        <v>46030</v>
      </c>
      <c r="D6" s="2" t="s">
        <v>25</v>
      </c>
      <c r="E6" s="2" t="s">
        <v>26</v>
      </c>
      <c r="F6" s="2" t="s">
        <v>27</v>
      </c>
      <c r="G6" s="2" t="s">
        <v>135</v>
      </c>
      <c r="H6">
        <v>2</v>
      </c>
      <c r="I6">
        <v>30000</v>
      </c>
      <c r="J6">
        <v>21000</v>
      </c>
      <c r="K6">
        <v>9000</v>
      </c>
      <c r="L6" s="4">
        <v>0.3</v>
      </c>
      <c r="M6" s="2" t="s">
        <v>118</v>
      </c>
      <c r="N6" s="2" t="s">
        <v>28</v>
      </c>
      <c r="O6" s="2" t="s">
        <v>102</v>
      </c>
      <c r="P6" t="s">
        <v>157</v>
      </c>
    </row>
    <row r="7" spans="1:16" x14ac:dyDescent="0.35">
      <c r="A7">
        <v>1004</v>
      </c>
      <c r="B7" s="2" t="s">
        <v>29</v>
      </c>
      <c r="C7" s="3">
        <v>46034</v>
      </c>
      <c r="D7" s="2" t="s">
        <v>31</v>
      </c>
      <c r="E7" s="2" t="s">
        <v>14</v>
      </c>
      <c r="F7" s="2" t="s">
        <v>32</v>
      </c>
      <c r="G7" s="2" t="s">
        <v>16</v>
      </c>
      <c r="H7">
        <v>4</v>
      </c>
      <c r="I7">
        <v>20000</v>
      </c>
      <c r="J7">
        <v>12000</v>
      </c>
      <c r="K7">
        <v>8000</v>
      </c>
      <c r="L7" s="4">
        <v>0.4</v>
      </c>
      <c r="M7" s="2" t="s">
        <v>118</v>
      </c>
      <c r="N7" s="2" t="s">
        <v>33</v>
      </c>
      <c r="O7" s="2" t="s">
        <v>104</v>
      </c>
      <c r="P7" t="s">
        <v>151</v>
      </c>
    </row>
    <row r="8" spans="1:16" x14ac:dyDescent="0.35">
      <c r="A8">
        <v>1005</v>
      </c>
      <c r="B8" s="2" t="s">
        <v>34</v>
      </c>
      <c r="C8" s="3">
        <v>46037</v>
      </c>
      <c r="D8" s="2" t="s">
        <v>36</v>
      </c>
      <c r="E8" s="2" t="s">
        <v>26</v>
      </c>
      <c r="F8" s="2" t="s">
        <v>15</v>
      </c>
      <c r="G8" s="2" t="s">
        <v>136</v>
      </c>
      <c r="H8">
        <v>1</v>
      </c>
      <c r="I8">
        <v>45000</v>
      </c>
      <c r="J8">
        <v>32000</v>
      </c>
      <c r="K8">
        <v>13000</v>
      </c>
      <c r="L8" s="4">
        <v>0.28888888888888897</v>
      </c>
      <c r="M8" s="2" t="s">
        <v>118</v>
      </c>
      <c r="N8" s="2" t="s">
        <v>37</v>
      </c>
      <c r="O8" s="2" t="s">
        <v>99</v>
      </c>
      <c r="P8" t="s">
        <v>160</v>
      </c>
    </row>
    <row r="9" spans="1:16" x14ac:dyDescent="0.35">
      <c r="A9">
        <v>1007</v>
      </c>
      <c r="B9" s="2" t="s">
        <v>41</v>
      </c>
      <c r="C9" s="3">
        <v>46044</v>
      </c>
      <c r="D9" s="2" t="s">
        <v>43</v>
      </c>
      <c r="E9" s="2" t="s">
        <v>14</v>
      </c>
      <c r="F9" s="2" t="s">
        <v>21</v>
      </c>
      <c r="G9" s="2" t="s">
        <v>135</v>
      </c>
      <c r="H9">
        <v>3</v>
      </c>
      <c r="I9">
        <v>18000</v>
      </c>
      <c r="J9">
        <v>10500</v>
      </c>
      <c r="K9">
        <v>7500</v>
      </c>
      <c r="L9" s="4">
        <v>0.41666666666666702</v>
      </c>
      <c r="M9" s="2" t="s">
        <v>118</v>
      </c>
      <c r="N9" s="2" t="s">
        <v>44</v>
      </c>
      <c r="O9" s="2" t="s">
        <v>100</v>
      </c>
      <c r="P9" t="s">
        <v>161</v>
      </c>
    </row>
    <row r="10" spans="1:16" x14ac:dyDescent="0.35">
      <c r="A10">
        <v>1008</v>
      </c>
      <c r="B10" s="2" t="s">
        <v>45</v>
      </c>
      <c r="C10" s="3">
        <v>46047</v>
      </c>
      <c r="D10" s="2" t="s">
        <v>47</v>
      </c>
      <c r="E10" s="2" t="s">
        <v>26</v>
      </c>
      <c r="F10" s="2" t="s">
        <v>27</v>
      </c>
      <c r="G10" s="2" t="s">
        <v>135</v>
      </c>
      <c r="H10">
        <v>1</v>
      </c>
      <c r="I10">
        <v>22000</v>
      </c>
      <c r="J10">
        <v>15500</v>
      </c>
      <c r="K10">
        <v>6500</v>
      </c>
      <c r="L10" s="4">
        <v>0.29545454545454602</v>
      </c>
      <c r="M10" s="2" t="s">
        <v>118</v>
      </c>
      <c r="N10" s="2" t="s">
        <v>48</v>
      </c>
      <c r="O10" s="2" t="s">
        <v>108</v>
      </c>
      <c r="P10" t="s">
        <v>162</v>
      </c>
    </row>
    <row r="11" spans="1:16" x14ac:dyDescent="0.35">
      <c r="A11">
        <v>1009</v>
      </c>
      <c r="B11" s="2" t="s">
        <v>49</v>
      </c>
      <c r="C11" s="3">
        <v>46050</v>
      </c>
      <c r="D11" s="2" t="s">
        <v>13</v>
      </c>
      <c r="E11" s="2" t="s">
        <v>14</v>
      </c>
      <c r="F11" s="2" t="s">
        <v>32</v>
      </c>
      <c r="G11" s="2" t="s">
        <v>16</v>
      </c>
      <c r="H11">
        <v>1</v>
      </c>
      <c r="I11">
        <v>60000</v>
      </c>
      <c r="J11">
        <v>45000</v>
      </c>
      <c r="K11">
        <v>15000</v>
      </c>
      <c r="L11" s="4">
        <v>0.25</v>
      </c>
      <c r="M11" s="2" t="s">
        <v>118</v>
      </c>
      <c r="N11" s="2" t="s">
        <v>51</v>
      </c>
      <c r="O11" s="2" t="s">
        <v>102</v>
      </c>
      <c r="P11" t="s">
        <v>145</v>
      </c>
    </row>
    <row r="12" spans="1:16" x14ac:dyDescent="0.35">
      <c r="A12">
        <v>1010</v>
      </c>
      <c r="B12" s="2" t="s">
        <v>52</v>
      </c>
      <c r="C12" s="3">
        <v>46055</v>
      </c>
      <c r="D12" s="2" t="s">
        <v>20</v>
      </c>
      <c r="E12" s="2" t="s">
        <v>14</v>
      </c>
      <c r="F12" s="2" t="s">
        <v>21</v>
      </c>
      <c r="G12" s="2" t="s">
        <v>136</v>
      </c>
      <c r="H12">
        <v>8</v>
      </c>
      <c r="I12">
        <v>20000</v>
      </c>
      <c r="J12">
        <v>12000</v>
      </c>
      <c r="K12">
        <v>8000</v>
      </c>
      <c r="L12" s="4">
        <v>0.4</v>
      </c>
      <c r="M12" s="2" t="s">
        <v>119</v>
      </c>
      <c r="N12" s="2" t="s">
        <v>54</v>
      </c>
      <c r="O12" s="2" t="s">
        <v>100</v>
      </c>
      <c r="P12" t="s">
        <v>149</v>
      </c>
    </row>
    <row r="13" spans="1:16" x14ac:dyDescent="0.35">
      <c r="A13">
        <v>1011</v>
      </c>
      <c r="B13" s="2" t="s">
        <v>55</v>
      </c>
      <c r="C13" s="3">
        <v>46058</v>
      </c>
      <c r="D13" s="2" t="s">
        <v>36</v>
      </c>
      <c r="E13" s="2" t="s">
        <v>26</v>
      </c>
      <c r="F13" s="2" t="s">
        <v>15</v>
      </c>
      <c r="G13" s="2" t="s">
        <v>136</v>
      </c>
      <c r="H13">
        <v>2</v>
      </c>
      <c r="I13">
        <v>90000</v>
      </c>
      <c r="J13">
        <v>64000</v>
      </c>
      <c r="K13">
        <v>26000</v>
      </c>
      <c r="L13" s="4">
        <v>0.28888888888888897</v>
      </c>
      <c r="M13" s="2" t="s">
        <v>119</v>
      </c>
      <c r="N13" s="2" t="s">
        <v>57</v>
      </c>
      <c r="O13" s="2" t="s">
        <v>99</v>
      </c>
      <c r="P13" t="s">
        <v>163</v>
      </c>
    </row>
    <row r="14" spans="1:16" x14ac:dyDescent="0.35">
      <c r="A14">
        <v>1013</v>
      </c>
      <c r="B14" s="2" t="s">
        <v>23</v>
      </c>
      <c r="C14" s="3">
        <v>46066</v>
      </c>
      <c r="D14" s="2" t="s">
        <v>13</v>
      </c>
      <c r="E14" s="2" t="s">
        <v>14</v>
      </c>
      <c r="F14" s="2" t="s">
        <v>27</v>
      </c>
      <c r="G14" s="2" t="s">
        <v>135</v>
      </c>
      <c r="H14">
        <v>2</v>
      </c>
      <c r="I14">
        <v>120000</v>
      </c>
      <c r="J14">
        <v>90000</v>
      </c>
      <c r="K14">
        <v>30000</v>
      </c>
      <c r="L14" s="4">
        <v>0.25</v>
      </c>
      <c r="M14" s="2" t="s">
        <v>119</v>
      </c>
      <c r="N14" s="2" t="s">
        <v>28</v>
      </c>
      <c r="O14" s="2" t="s">
        <v>102</v>
      </c>
      <c r="P14" t="s">
        <v>146</v>
      </c>
    </row>
    <row r="15" spans="1:16" x14ac:dyDescent="0.35">
      <c r="A15">
        <v>1014</v>
      </c>
      <c r="B15" s="2" t="s">
        <v>29</v>
      </c>
      <c r="C15" s="3">
        <v>46069</v>
      </c>
      <c r="D15" s="2" t="s">
        <v>25</v>
      </c>
      <c r="E15" s="2" t="s">
        <v>26</v>
      </c>
      <c r="F15" s="2" t="s">
        <v>32</v>
      </c>
      <c r="G15" s="2" t="s">
        <v>16</v>
      </c>
      <c r="H15">
        <v>3</v>
      </c>
      <c r="I15">
        <v>45000</v>
      </c>
      <c r="J15">
        <v>31500</v>
      </c>
      <c r="K15">
        <v>13500</v>
      </c>
      <c r="L15" s="4">
        <v>0.3</v>
      </c>
      <c r="M15" s="2" t="s">
        <v>119</v>
      </c>
      <c r="N15" s="2" t="s">
        <v>33</v>
      </c>
      <c r="O15" s="2" t="s">
        <v>104</v>
      </c>
      <c r="P15" t="s">
        <v>158</v>
      </c>
    </row>
    <row r="16" spans="1:16" x14ac:dyDescent="0.35">
      <c r="A16">
        <v>1015</v>
      </c>
      <c r="B16" s="2" t="s">
        <v>34</v>
      </c>
      <c r="C16" s="3">
        <v>46073</v>
      </c>
      <c r="D16" s="2" t="s">
        <v>31</v>
      </c>
      <c r="E16" s="2" t="s">
        <v>14</v>
      </c>
      <c r="F16" s="2" t="s">
        <v>15</v>
      </c>
      <c r="G16" s="2" t="s">
        <v>16</v>
      </c>
      <c r="H16">
        <v>6</v>
      </c>
      <c r="I16">
        <v>30000</v>
      </c>
      <c r="J16">
        <v>18000</v>
      </c>
      <c r="K16">
        <v>12000</v>
      </c>
      <c r="L16" s="4">
        <v>0.4</v>
      </c>
      <c r="M16" s="2" t="s">
        <v>119</v>
      </c>
      <c r="N16" s="2" t="s">
        <v>37</v>
      </c>
      <c r="O16" s="2" t="s">
        <v>99</v>
      </c>
      <c r="P16" t="s">
        <v>152</v>
      </c>
    </row>
    <row r="17" spans="1:16" x14ac:dyDescent="0.35">
      <c r="A17">
        <v>1016</v>
      </c>
      <c r="B17" s="2" t="s">
        <v>41</v>
      </c>
      <c r="C17" s="3">
        <v>46077</v>
      </c>
      <c r="D17" s="2" t="s">
        <v>43</v>
      </c>
      <c r="E17" s="2" t="s">
        <v>14</v>
      </c>
      <c r="F17" s="2" t="s">
        <v>21</v>
      </c>
      <c r="G17" s="2" t="s">
        <v>135</v>
      </c>
      <c r="H17">
        <v>5</v>
      </c>
      <c r="I17">
        <v>30000</v>
      </c>
      <c r="J17">
        <v>17500</v>
      </c>
      <c r="K17">
        <v>12500</v>
      </c>
      <c r="L17" s="4">
        <v>0.41666666666666702</v>
      </c>
      <c r="M17" s="2" t="s">
        <v>119</v>
      </c>
      <c r="N17" s="2" t="s">
        <v>44</v>
      </c>
      <c r="O17" s="2" t="s">
        <v>100</v>
      </c>
      <c r="P17" t="s">
        <v>164</v>
      </c>
    </row>
    <row r="18" spans="1:16" x14ac:dyDescent="0.35">
      <c r="A18">
        <v>1017</v>
      </c>
      <c r="B18" s="2" t="s">
        <v>45</v>
      </c>
      <c r="C18" s="3">
        <v>46082</v>
      </c>
      <c r="D18" s="2" t="s">
        <v>47</v>
      </c>
      <c r="E18" s="2" t="s">
        <v>26</v>
      </c>
      <c r="F18" s="2" t="s">
        <v>27</v>
      </c>
      <c r="G18" s="2" t="s">
        <v>16</v>
      </c>
      <c r="H18">
        <v>2</v>
      </c>
      <c r="I18">
        <v>44000</v>
      </c>
      <c r="J18">
        <v>31000</v>
      </c>
      <c r="K18">
        <v>13000</v>
      </c>
      <c r="L18" s="4">
        <v>0.29545454545454602</v>
      </c>
      <c r="M18" s="2" t="s">
        <v>120</v>
      </c>
      <c r="N18" s="2" t="s">
        <v>48</v>
      </c>
      <c r="O18" s="2" t="s">
        <v>108</v>
      </c>
      <c r="P18" t="s">
        <v>165</v>
      </c>
    </row>
    <row r="19" spans="1:16" x14ac:dyDescent="0.35">
      <c r="A19">
        <v>1018</v>
      </c>
      <c r="B19" s="2" t="s">
        <v>49</v>
      </c>
      <c r="C19" s="3">
        <v>46085</v>
      </c>
      <c r="D19" s="2" t="s">
        <v>13</v>
      </c>
      <c r="E19" s="2" t="s">
        <v>14</v>
      </c>
      <c r="F19" s="2" t="s">
        <v>32</v>
      </c>
      <c r="G19" s="2" t="s">
        <v>136</v>
      </c>
      <c r="H19">
        <v>1</v>
      </c>
      <c r="I19">
        <v>60000</v>
      </c>
      <c r="J19">
        <v>45000</v>
      </c>
      <c r="K19">
        <v>15000</v>
      </c>
      <c r="L19" s="4">
        <v>0.25</v>
      </c>
      <c r="M19" s="2" t="s">
        <v>120</v>
      </c>
      <c r="N19" s="2" t="s">
        <v>51</v>
      </c>
      <c r="O19" s="2" t="s">
        <v>102</v>
      </c>
      <c r="P19" t="s">
        <v>147</v>
      </c>
    </row>
    <row r="20" spans="1:16" x14ac:dyDescent="0.35">
      <c r="A20">
        <v>1019</v>
      </c>
      <c r="B20" s="2" t="s">
        <v>52</v>
      </c>
      <c r="C20" s="3">
        <v>46089</v>
      </c>
      <c r="D20" s="2" t="s">
        <v>20</v>
      </c>
      <c r="E20" s="2" t="s">
        <v>14</v>
      </c>
      <c r="F20" s="2" t="s">
        <v>21</v>
      </c>
      <c r="G20" s="2" t="s">
        <v>135</v>
      </c>
      <c r="H20">
        <v>10</v>
      </c>
      <c r="I20">
        <v>25000</v>
      </c>
      <c r="J20">
        <v>15000</v>
      </c>
      <c r="K20">
        <v>10000</v>
      </c>
      <c r="L20" s="4">
        <v>0.4</v>
      </c>
      <c r="M20" s="2" t="s">
        <v>120</v>
      </c>
      <c r="N20" s="2" t="s">
        <v>54</v>
      </c>
      <c r="O20" s="2" t="s">
        <v>100</v>
      </c>
      <c r="P20" t="s">
        <v>150</v>
      </c>
    </row>
    <row r="21" spans="1:16" x14ac:dyDescent="0.35">
      <c r="A21">
        <v>1020</v>
      </c>
      <c r="B21" s="2" t="s">
        <v>55</v>
      </c>
      <c r="C21" s="3">
        <v>46093</v>
      </c>
      <c r="D21" s="2" t="s">
        <v>36</v>
      </c>
      <c r="E21" s="2" t="s">
        <v>26</v>
      </c>
      <c r="F21" s="2" t="s">
        <v>15</v>
      </c>
      <c r="G21" s="2" t="s">
        <v>16</v>
      </c>
      <c r="H21">
        <v>1</v>
      </c>
      <c r="I21">
        <v>45000</v>
      </c>
      <c r="J21">
        <v>32000</v>
      </c>
      <c r="K21">
        <v>13000</v>
      </c>
      <c r="L21" s="4">
        <v>0.28888888888888897</v>
      </c>
      <c r="M21" s="2" t="s">
        <v>120</v>
      </c>
      <c r="N21" s="2" t="s">
        <v>57</v>
      </c>
      <c r="O21" s="2" t="s">
        <v>99</v>
      </c>
      <c r="P21" t="s">
        <v>166</v>
      </c>
    </row>
    <row r="22" spans="1:16" x14ac:dyDescent="0.35">
      <c r="A22">
        <v>1021</v>
      </c>
      <c r="B22" s="2" t="s">
        <v>38</v>
      </c>
      <c r="C22" s="3">
        <v>46096</v>
      </c>
      <c r="D22" s="2" t="s">
        <v>40</v>
      </c>
      <c r="E22" s="2" t="s">
        <v>14</v>
      </c>
      <c r="F22" s="2" t="s">
        <v>15</v>
      </c>
      <c r="G22" s="2" t="s">
        <v>16</v>
      </c>
      <c r="H22">
        <v>3</v>
      </c>
      <c r="I22">
        <v>105000</v>
      </c>
      <c r="J22">
        <v>75000</v>
      </c>
      <c r="K22">
        <v>30000</v>
      </c>
      <c r="L22" s="4">
        <v>0.28571428571428598</v>
      </c>
      <c r="M22" s="2" t="s">
        <v>120</v>
      </c>
      <c r="N22" s="2" t="s">
        <v>17</v>
      </c>
      <c r="O22" s="2" t="s">
        <v>99</v>
      </c>
      <c r="P22" t="s">
        <v>156</v>
      </c>
    </row>
    <row r="23" spans="1:16" x14ac:dyDescent="0.35">
      <c r="A23">
        <v>1022</v>
      </c>
      <c r="B23" s="2" t="s">
        <v>18</v>
      </c>
      <c r="C23" s="3">
        <v>46099</v>
      </c>
      <c r="D23" s="2" t="s">
        <v>31</v>
      </c>
      <c r="E23" s="2" t="s">
        <v>14</v>
      </c>
      <c r="F23" s="2" t="s">
        <v>21</v>
      </c>
      <c r="G23" s="2" t="s">
        <v>136</v>
      </c>
      <c r="H23">
        <v>4</v>
      </c>
      <c r="I23">
        <v>20000</v>
      </c>
      <c r="J23">
        <v>12000</v>
      </c>
      <c r="K23">
        <v>8000</v>
      </c>
      <c r="L23" s="4">
        <v>0.4</v>
      </c>
      <c r="M23" s="2" t="s">
        <v>120</v>
      </c>
      <c r="N23" s="2" t="s">
        <v>22</v>
      </c>
      <c r="O23" s="2" t="s">
        <v>100</v>
      </c>
      <c r="P23" t="s">
        <v>153</v>
      </c>
    </row>
    <row r="24" spans="1:16" x14ac:dyDescent="0.35">
      <c r="A24">
        <v>1023</v>
      </c>
      <c r="B24" s="2" t="s">
        <v>23</v>
      </c>
      <c r="C24" s="3">
        <v>46102</v>
      </c>
      <c r="D24" s="2" t="s">
        <v>25</v>
      </c>
      <c r="E24" s="2" t="s">
        <v>26</v>
      </c>
      <c r="F24" s="2" t="s">
        <v>27</v>
      </c>
      <c r="G24" s="2" t="s">
        <v>135</v>
      </c>
      <c r="H24">
        <v>2</v>
      </c>
      <c r="I24">
        <v>30000</v>
      </c>
      <c r="J24">
        <v>21000</v>
      </c>
      <c r="K24">
        <v>9000</v>
      </c>
      <c r="L24" s="4">
        <v>0.3</v>
      </c>
      <c r="M24" s="2" t="s">
        <v>120</v>
      </c>
      <c r="N24" s="2" t="s">
        <v>28</v>
      </c>
      <c r="O24" s="2" t="s">
        <v>102</v>
      </c>
      <c r="P24" t="s">
        <v>159</v>
      </c>
    </row>
    <row r="25" spans="1:16" x14ac:dyDescent="0.35">
      <c r="A25">
        <v>1024</v>
      </c>
      <c r="B25" s="2" t="s">
        <v>29</v>
      </c>
      <c r="C25" s="3">
        <v>46106</v>
      </c>
      <c r="D25" s="2" t="s">
        <v>13</v>
      </c>
      <c r="E25" s="2" t="s">
        <v>14</v>
      </c>
      <c r="F25" s="2" t="s">
        <v>32</v>
      </c>
      <c r="G25" s="2" t="s">
        <v>16</v>
      </c>
      <c r="H25">
        <v>1</v>
      </c>
      <c r="I25">
        <v>60000</v>
      </c>
      <c r="J25">
        <v>45000</v>
      </c>
      <c r="K25">
        <v>15000</v>
      </c>
      <c r="L25" s="4">
        <v>0.25</v>
      </c>
      <c r="M25" s="2" t="s">
        <v>120</v>
      </c>
      <c r="N25" s="2" t="s">
        <v>33</v>
      </c>
      <c r="O25" s="2" t="s">
        <v>104</v>
      </c>
      <c r="P25" t="s">
        <v>147</v>
      </c>
    </row>
    <row r="26" spans="1:16" x14ac:dyDescent="0.35">
      <c r="A26">
        <v>1025</v>
      </c>
      <c r="B26" s="2" t="s">
        <v>34</v>
      </c>
      <c r="C26" s="3">
        <v>46109</v>
      </c>
      <c r="D26" s="2" t="s">
        <v>36</v>
      </c>
      <c r="E26" s="2" t="s">
        <v>26</v>
      </c>
      <c r="F26" s="2" t="s">
        <v>15</v>
      </c>
      <c r="G26" s="2" t="s">
        <v>135</v>
      </c>
      <c r="H26">
        <v>2</v>
      </c>
      <c r="I26">
        <v>90000</v>
      </c>
      <c r="J26">
        <v>64000</v>
      </c>
      <c r="K26">
        <v>26000</v>
      </c>
      <c r="L26" s="4">
        <v>0.28888888888888897</v>
      </c>
      <c r="M26" s="2" t="s">
        <v>120</v>
      </c>
      <c r="N26" s="2" t="s">
        <v>37</v>
      </c>
      <c r="O26" s="2" t="s">
        <v>99</v>
      </c>
      <c r="P26" t="s">
        <v>166</v>
      </c>
    </row>
    <row r="27" spans="1:16" x14ac:dyDescent="0.35">
      <c r="A27">
        <v>1026</v>
      </c>
      <c r="B27" s="2" t="s">
        <v>41</v>
      </c>
      <c r="C27" s="3">
        <v>46114</v>
      </c>
      <c r="D27" s="2" t="s">
        <v>43</v>
      </c>
      <c r="E27" s="2" t="s">
        <v>14</v>
      </c>
      <c r="F27" s="2" t="s">
        <v>21</v>
      </c>
      <c r="G27" s="2" t="s">
        <v>136</v>
      </c>
      <c r="H27">
        <v>4</v>
      </c>
      <c r="I27">
        <v>24000</v>
      </c>
      <c r="J27">
        <v>14000</v>
      </c>
      <c r="K27">
        <v>10000</v>
      </c>
      <c r="L27" s="4">
        <v>0.41666666666666702</v>
      </c>
      <c r="M27" s="2" t="s">
        <v>121</v>
      </c>
      <c r="N27" s="2" t="s">
        <v>44</v>
      </c>
      <c r="O27" s="2" t="s">
        <v>100</v>
      </c>
      <c r="P27" t="s">
        <v>167</v>
      </c>
    </row>
    <row r="28" spans="1:16" x14ac:dyDescent="0.35">
      <c r="A28">
        <v>1027</v>
      </c>
      <c r="B28" s="2" t="s">
        <v>45</v>
      </c>
      <c r="C28" s="3">
        <v>46118</v>
      </c>
      <c r="D28" s="2" t="s">
        <v>47</v>
      </c>
      <c r="E28" s="2" t="s">
        <v>26</v>
      </c>
      <c r="F28" s="2" t="s">
        <v>27</v>
      </c>
      <c r="G28" s="2" t="s">
        <v>16</v>
      </c>
      <c r="H28">
        <v>3</v>
      </c>
      <c r="I28">
        <v>66000</v>
      </c>
      <c r="J28">
        <v>46500</v>
      </c>
      <c r="K28">
        <v>19500</v>
      </c>
      <c r="L28" s="4">
        <v>0.29545454545454602</v>
      </c>
      <c r="M28" s="2" t="s">
        <v>121</v>
      </c>
      <c r="N28" s="2" t="s">
        <v>48</v>
      </c>
      <c r="O28" s="2" t="s">
        <v>108</v>
      </c>
      <c r="P28" t="s">
        <v>168</v>
      </c>
    </row>
    <row r="29" spans="1:16" x14ac:dyDescent="0.35">
      <c r="A29">
        <v>1028</v>
      </c>
      <c r="B29" s="2" t="s">
        <v>49</v>
      </c>
      <c r="C29" s="3">
        <v>46122</v>
      </c>
      <c r="D29" s="2" t="s">
        <v>13</v>
      </c>
      <c r="E29" s="2" t="s">
        <v>14</v>
      </c>
      <c r="F29" s="2" t="s">
        <v>32</v>
      </c>
      <c r="G29" s="2" t="s">
        <v>16</v>
      </c>
      <c r="H29">
        <v>2</v>
      </c>
      <c r="I29">
        <v>120000</v>
      </c>
      <c r="J29">
        <v>90000</v>
      </c>
      <c r="K29">
        <v>30000</v>
      </c>
      <c r="L29" s="4">
        <v>0.25</v>
      </c>
      <c r="M29" s="2" t="s">
        <v>121</v>
      </c>
      <c r="N29" s="2" t="s">
        <v>51</v>
      </c>
      <c r="O29" s="2" t="s">
        <v>102</v>
      </c>
      <c r="P29" t="s">
        <v>169</v>
      </c>
    </row>
    <row r="30" spans="1:16" x14ac:dyDescent="0.35">
      <c r="A30">
        <v>1029</v>
      </c>
      <c r="B30" s="2" t="s">
        <v>52</v>
      </c>
      <c r="C30" s="3">
        <v>46126</v>
      </c>
      <c r="D30" s="2" t="s">
        <v>20</v>
      </c>
      <c r="E30" s="2" t="s">
        <v>14</v>
      </c>
      <c r="F30" s="2" t="s">
        <v>21</v>
      </c>
      <c r="G30" s="2" t="s">
        <v>16</v>
      </c>
      <c r="H30">
        <v>6</v>
      </c>
      <c r="I30">
        <v>15000</v>
      </c>
      <c r="J30">
        <v>9000</v>
      </c>
      <c r="K30">
        <v>6000</v>
      </c>
      <c r="L30" s="4">
        <v>0.4</v>
      </c>
      <c r="M30" s="2" t="s">
        <v>121</v>
      </c>
      <c r="N30" s="2" t="s">
        <v>54</v>
      </c>
      <c r="O30" s="2" t="s">
        <v>100</v>
      </c>
      <c r="P30" t="s">
        <v>170</v>
      </c>
    </row>
    <row r="31" spans="1:16" x14ac:dyDescent="0.35">
      <c r="A31">
        <v>1030</v>
      </c>
      <c r="B31" s="2" t="s">
        <v>55</v>
      </c>
      <c r="C31" s="3">
        <v>46130</v>
      </c>
      <c r="D31" s="2" t="s">
        <v>36</v>
      </c>
      <c r="E31" s="2" t="s">
        <v>26</v>
      </c>
      <c r="F31" s="2" t="s">
        <v>15</v>
      </c>
      <c r="G31" s="2" t="s">
        <v>16</v>
      </c>
      <c r="H31">
        <v>1</v>
      </c>
      <c r="I31">
        <v>45000</v>
      </c>
      <c r="J31">
        <v>32000</v>
      </c>
      <c r="K31">
        <v>13000</v>
      </c>
      <c r="L31" s="4">
        <v>0.28888888888888897</v>
      </c>
      <c r="M31" s="2" t="s">
        <v>121</v>
      </c>
      <c r="N31" s="2" t="s">
        <v>57</v>
      </c>
      <c r="O31" s="2" t="s">
        <v>99</v>
      </c>
      <c r="P31" t="s">
        <v>171</v>
      </c>
    </row>
    <row r="32" spans="1:16" x14ac:dyDescent="0.35">
      <c r="A32">
        <v>1031</v>
      </c>
      <c r="B32" s="2" t="s">
        <v>38</v>
      </c>
      <c r="C32" s="3">
        <v>46134</v>
      </c>
      <c r="D32" s="2" t="s">
        <v>40</v>
      </c>
      <c r="E32" s="2" t="s">
        <v>14</v>
      </c>
      <c r="F32" s="2" t="s">
        <v>15</v>
      </c>
      <c r="G32" s="2" t="s">
        <v>136</v>
      </c>
      <c r="H32">
        <v>1</v>
      </c>
      <c r="I32">
        <v>35000</v>
      </c>
      <c r="J32">
        <v>25000</v>
      </c>
      <c r="K32">
        <v>10000</v>
      </c>
      <c r="L32" s="4">
        <v>0.28571428571428598</v>
      </c>
      <c r="M32" s="2" t="s">
        <v>121</v>
      </c>
      <c r="N32" s="2" t="s">
        <v>17</v>
      </c>
      <c r="O32" s="2" t="s">
        <v>99</v>
      </c>
      <c r="P32" t="s">
        <v>172</v>
      </c>
    </row>
    <row r="33" spans="1:16" x14ac:dyDescent="0.35">
      <c r="A33">
        <v>1032</v>
      </c>
      <c r="B33" s="2" t="s">
        <v>18</v>
      </c>
      <c r="C33" s="3">
        <v>46138</v>
      </c>
      <c r="D33" s="2" t="s">
        <v>31</v>
      </c>
      <c r="E33" s="2" t="s">
        <v>14</v>
      </c>
      <c r="F33" s="2" t="s">
        <v>21</v>
      </c>
      <c r="G33" s="2" t="s">
        <v>136</v>
      </c>
      <c r="H33">
        <v>7</v>
      </c>
      <c r="I33">
        <v>35000</v>
      </c>
      <c r="J33">
        <v>21000</v>
      </c>
      <c r="K33">
        <v>14000</v>
      </c>
      <c r="L33" s="4">
        <v>0.4</v>
      </c>
      <c r="M33" s="2" t="s">
        <v>121</v>
      </c>
      <c r="N33" s="2" t="s">
        <v>22</v>
      </c>
      <c r="O33" s="2" t="s">
        <v>100</v>
      </c>
      <c r="P33" t="s">
        <v>173</v>
      </c>
    </row>
    <row r="34" spans="1:16" x14ac:dyDescent="0.35">
      <c r="A34">
        <v>1033</v>
      </c>
      <c r="B34" s="2" t="s">
        <v>23</v>
      </c>
      <c r="C34" s="3">
        <v>46143</v>
      </c>
      <c r="D34" s="2" t="s">
        <v>25</v>
      </c>
      <c r="E34" s="2" t="s">
        <v>26</v>
      </c>
      <c r="F34" s="2" t="s">
        <v>27</v>
      </c>
      <c r="G34" s="2" t="s">
        <v>136</v>
      </c>
      <c r="H34">
        <v>4</v>
      </c>
      <c r="I34">
        <v>60000</v>
      </c>
      <c r="J34">
        <v>42000</v>
      </c>
      <c r="K34">
        <v>18000</v>
      </c>
      <c r="L34" s="4">
        <v>0.3</v>
      </c>
      <c r="M34" s="2" t="s">
        <v>122</v>
      </c>
      <c r="N34" s="2" t="s">
        <v>28</v>
      </c>
      <c r="O34" s="2" t="s">
        <v>102</v>
      </c>
      <c r="P34" t="s">
        <v>174</v>
      </c>
    </row>
    <row r="35" spans="1:16" x14ac:dyDescent="0.35">
      <c r="A35">
        <v>1034</v>
      </c>
      <c r="B35" s="2" t="s">
        <v>29</v>
      </c>
      <c r="C35" s="3">
        <v>46147</v>
      </c>
      <c r="D35" s="2" t="s">
        <v>13</v>
      </c>
      <c r="E35" s="2" t="s">
        <v>14</v>
      </c>
      <c r="F35" s="2" t="s">
        <v>32</v>
      </c>
      <c r="G35" s="2" t="s">
        <v>16</v>
      </c>
      <c r="H35">
        <v>2</v>
      </c>
      <c r="I35">
        <v>120000</v>
      </c>
      <c r="J35">
        <v>90000</v>
      </c>
      <c r="K35">
        <v>30000</v>
      </c>
      <c r="L35" s="4">
        <v>0.25</v>
      </c>
      <c r="M35" s="2" t="s">
        <v>122</v>
      </c>
      <c r="N35" s="2" t="s">
        <v>33</v>
      </c>
      <c r="O35" s="2" t="s">
        <v>104</v>
      </c>
      <c r="P35" t="s">
        <v>175</v>
      </c>
    </row>
    <row r="36" spans="1:16" x14ac:dyDescent="0.35">
      <c r="A36">
        <v>1035</v>
      </c>
      <c r="B36" s="2" t="s">
        <v>34</v>
      </c>
      <c r="C36" s="3">
        <v>46151</v>
      </c>
      <c r="D36" s="2" t="s">
        <v>36</v>
      </c>
      <c r="E36" s="2" t="s">
        <v>26</v>
      </c>
      <c r="F36" s="2" t="s">
        <v>15</v>
      </c>
      <c r="G36" s="2" t="s">
        <v>16</v>
      </c>
      <c r="H36">
        <v>1</v>
      </c>
      <c r="I36">
        <v>45000</v>
      </c>
      <c r="J36">
        <v>32000</v>
      </c>
      <c r="K36">
        <v>13000</v>
      </c>
      <c r="L36" s="4">
        <v>0.28888888888888897</v>
      </c>
      <c r="M36" s="2" t="s">
        <v>122</v>
      </c>
      <c r="N36" s="2" t="s">
        <v>37</v>
      </c>
      <c r="O36" s="2" t="s">
        <v>99</v>
      </c>
      <c r="P36" t="s">
        <v>176</v>
      </c>
    </row>
    <row r="37" spans="1:16" x14ac:dyDescent="0.35">
      <c r="A37">
        <v>1036</v>
      </c>
      <c r="B37" s="2" t="s">
        <v>41</v>
      </c>
      <c r="C37" s="3">
        <v>46155</v>
      </c>
      <c r="D37" s="2" t="s">
        <v>43</v>
      </c>
      <c r="E37" s="2" t="s">
        <v>14</v>
      </c>
      <c r="F37" s="2" t="s">
        <v>21</v>
      </c>
      <c r="G37" s="2" t="s">
        <v>16</v>
      </c>
      <c r="H37">
        <v>6</v>
      </c>
      <c r="I37">
        <v>36000</v>
      </c>
      <c r="J37">
        <v>21000</v>
      </c>
      <c r="K37">
        <v>15000</v>
      </c>
      <c r="L37" s="4">
        <v>0.41666666666666702</v>
      </c>
      <c r="M37" s="2" t="s">
        <v>122</v>
      </c>
      <c r="N37" s="2" t="s">
        <v>44</v>
      </c>
      <c r="O37" s="2" t="s">
        <v>100</v>
      </c>
      <c r="P37" t="s">
        <v>177</v>
      </c>
    </row>
    <row r="38" spans="1:16" x14ac:dyDescent="0.35">
      <c r="A38">
        <v>1037</v>
      </c>
      <c r="B38" s="2" t="s">
        <v>45</v>
      </c>
      <c r="C38" s="3">
        <v>46159</v>
      </c>
      <c r="D38" s="2" t="s">
        <v>47</v>
      </c>
      <c r="E38" s="2" t="s">
        <v>26</v>
      </c>
      <c r="F38" s="2" t="s">
        <v>27</v>
      </c>
      <c r="G38" s="2" t="s">
        <v>16</v>
      </c>
      <c r="H38">
        <v>2</v>
      </c>
      <c r="I38">
        <v>44000</v>
      </c>
      <c r="J38">
        <v>31000</v>
      </c>
      <c r="K38">
        <v>13000</v>
      </c>
      <c r="L38" s="4">
        <v>0.29545454545454602</v>
      </c>
      <c r="M38" s="2" t="s">
        <v>122</v>
      </c>
      <c r="N38" s="2" t="s">
        <v>48</v>
      </c>
      <c r="O38" s="2" t="s">
        <v>108</v>
      </c>
      <c r="P38" t="s">
        <v>178</v>
      </c>
    </row>
    <row r="39" spans="1:16" x14ac:dyDescent="0.35">
      <c r="A39">
        <v>1038</v>
      </c>
      <c r="B39" s="2" t="s">
        <v>49</v>
      </c>
      <c r="C39" s="3">
        <v>46163</v>
      </c>
      <c r="D39" s="2" t="s">
        <v>13</v>
      </c>
      <c r="E39" s="2" t="s">
        <v>14</v>
      </c>
      <c r="F39" s="2" t="s">
        <v>32</v>
      </c>
      <c r="G39" s="2" t="s">
        <v>16</v>
      </c>
      <c r="H39">
        <v>1</v>
      </c>
      <c r="I39">
        <v>60000</v>
      </c>
      <c r="J39">
        <v>45000</v>
      </c>
      <c r="K39">
        <v>15000</v>
      </c>
      <c r="L39" s="4">
        <v>0.25</v>
      </c>
      <c r="M39" s="2" t="s">
        <v>122</v>
      </c>
      <c r="N39" s="2" t="s">
        <v>51</v>
      </c>
      <c r="O39" s="2" t="s">
        <v>102</v>
      </c>
      <c r="P39" t="s">
        <v>175</v>
      </c>
    </row>
    <row r="40" spans="1:16" x14ac:dyDescent="0.35">
      <c r="A40">
        <v>1039</v>
      </c>
      <c r="B40" s="2" t="s">
        <v>52</v>
      </c>
      <c r="C40" s="3">
        <v>46167</v>
      </c>
      <c r="D40" s="2" t="s">
        <v>20</v>
      </c>
      <c r="E40" s="2" t="s">
        <v>14</v>
      </c>
      <c r="F40" s="2" t="s">
        <v>21</v>
      </c>
      <c r="G40" s="2" t="s">
        <v>135</v>
      </c>
      <c r="H40">
        <v>9</v>
      </c>
      <c r="I40">
        <v>22500</v>
      </c>
      <c r="J40">
        <v>13500</v>
      </c>
      <c r="K40">
        <v>9000</v>
      </c>
      <c r="L40" s="4">
        <v>0.4</v>
      </c>
      <c r="M40" s="2" t="s">
        <v>122</v>
      </c>
      <c r="N40" s="2" t="s">
        <v>54</v>
      </c>
      <c r="O40" s="2" t="s">
        <v>100</v>
      </c>
      <c r="P40" t="s">
        <v>179</v>
      </c>
    </row>
    <row r="41" spans="1:16" x14ac:dyDescent="0.35">
      <c r="A41">
        <v>1040</v>
      </c>
      <c r="B41" s="2" t="s">
        <v>55</v>
      </c>
      <c r="C41" s="3">
        <v>46171</v>
      </c>
      <c r="D41" s="2" t="s">
        <v>36</v>
      </c>
      <c r="E41" s="2" t="s">
        <v>26</v>
      </c>
      <c r="F41" s="2" t="s">
        <v>15</v>
      </c>
      <c r="G41" s="2" t="s">
        <v>135</v>
      </c>
      <c r="H41">
        <v>2</v>
      </c>
      <c r="I41">
        <v>90000</v>
      </c>
      <c r="J41">
        <v>64000</v>
      </c>
      <c r="K41">
        <v>26000</v>
      </c>
      <c r="L41" s="4">
        <v>0.28888888888888897</v>
      </c>
      <c r="M41" s="2" t="s">
        <v>122</v>
      </c>
      <c r="N41" s="2" t="s">
        <v>57</v>
      </c>
      <c r="O41" s="2" t="s">
        <v>99</v>
      </c>
      <c r="P41" t="s">
        <v>176</v>
      </c>
    </row>
    <row r="42" spans="1:16" x14ac:dyDescent="0.35">
      <c r="A42">
        <v>1041</v>
      </c>
      <c r="B42" s="2" t="s">
        <v>38</v>
      </c>
      <c r="C42" s="3">
        <v>46176</v>
      </c>
      <c r="D42" s="2" t="s">
        <v>40</v>
      </c>
      <c r="E42" s="2" t="s">
        <v>14</v>
      </c>
      <c r="F42" s="2" t="s">
        <v>15</v>
      </c>
      <c r="G42" s="2" t="s">
        <v>135</v>
      </c>
      <c r="H42">
        <v>2</v>
      </c>
      <c r="I42">
        <v>70000</v>
      </c>
      <c r="J42">
        <v>50000</v>
      </c>
      <c r="K42">
        <v>20000</v>
      </c>
      <c r="L42" s="4">
        <v>0.28571428571428598</v>
      </c>
      <c r="M42" s="2" t="s">
        <v>123</v>
      </c>
      <c r="N42" s="2" t="s">
        <v>17</v>
      </c>
      <c r="O42" s="2" t="s">
        <v>99</v>
      </c>
      <c r="P42" t="s">
        <v>180</v>
      </c>
    </row>
    <row r="43" spans="1:16" x14ac:dyDescent="0.35">
      <c r="A43">
        <v>1042</v>
      </c>
      <c r="B43" s="2" t="s">
        <v>18</v>
      </c>
      <c r="C43" s="3">
        <v>46180</v>
      </c>
      <c r="D43" s="2" t="s">
        <v>31</v>
      </c>
      <c r="E43" s="2" t="s">
        <v>14</v>
      </c>
      <c r="F43" s="2" t="s">
        <v>21</v>
      </c>
      <c r="G43" s="2" t="s">
        <v>16</v>
      </c>
      <c r="H43">
        <v>5</v>
      </c>
      <c r="I43">
        <v>25000</v>
      </c>
      <c r="J43">
        <v>15000</v>
      </c>
      <c r="K43">
        <v>10000</v>
      </c>
      <c r="L43" s="4">
        <v>0.4</v>
      </c>
      <c r="M43" s="2" t="s">
        <v>123</v>
      </c>
      <c r="N43" s="2" t="s">
        <v>22</v>
      </c>
      <c r="O43" s="2" t="s">
        <v>100</v>
      </c>
      <c r="P43" t="s">
        <v>181</v>
      </c>
    </row>
    <row r="44" spans="1:16" x14ac:dyDescent="0.35">
      <c r="A44">
        <v>1043</v>
      </c>
      <c r="B44" s="2" t="s">
        <v>23</v>
      </c>
      <c r="C44" s="3">
        <v>46184</v>
      </c>
      <c r="D44" s="2" t="s">
        <v>25</v>
      </c>
      <c r="E44" s="2" t="s">
        <v>26</v>
      </c>
      <c r="F44" s="2" t="s">
        <v>27</v>
      </c>
      <c r="G44" s="2" t="s">
        <v>16</v>
      </c>
      <c r="H44">
        <v>1</v>
      </c>
      <c r="I44">
        <v>15000</v>
      </c>
      <c r="J44">
        <v>10500</v>
      </c>
      <c r="K44">
        <v>4500</v>
      </c>
      <c r="L44" s="4">
        <v>0.3</v>
      </c>
      <c r="M44" s="2" t="s">
        <v>123</v>
      </c>
      <c r="N44" s="2" t="s">
        <v>28</v>
      </c>
      <c r="O44" s="2" t="s">
        <v>102</v>
      </c>
      <c r="P44" t="s">
        <v>182</v>
      </c>
    </row>
    <row r="45" spans="1:16" x14ac:dyDescent="0.35">
      <c r="A45">
        <v>1044</v>
      </c>
      <c r="B45" s="2" t="s">
        <v>29</v>
      </c>
      <c r="C45" s="3">
        <v>46188</v>
      </c>
      <c r="D45" s="2" t="s">
        <v>13</v>
      </c>
      <c r="E45" s="2" t="s">
        <v>14</v>
      </c>
      <c r="F45" s="2" t="s">
        <v>32</v>
      </c>
      <c r="G45" s="2" t="s">
        <v>16</v>
      </c>
      <c r="H45">
        <v>3</v>
      </c>
      <c r="I45">
        <v>180000</v>
      </c>
      <c r="J45">
        <v>135000</v>
      </c>
      <c r="K45">
        <v>45000</v>
      </c>
      <c r="L45" s="4">
        <v>0.25</v>
      </c>
      <c r="M45" s="2" t="s">
        <v>123</v>
      </c>
      <c r="N45" s="2" t="s">
        <v>33</v>
      </c>
      <c r="O45" s="2" t="s">
        <v>104</v>
      </c>
      <c r="P45" t="s">
        <v>183</v>
      </c>
    </row>
    <row r="46" spans="1:16" x14ac:dyDescent="0.35">
      <c r="A46">
        <v>1045</v>
      </c>
      <c r="B46" s="2" t="s">
        <v>34</v>
      </c>
      <c r="C46" s="3">
        <v>46192</v>
      </c>
      <c r="D46" s="2" t="s">
        <v>36</v>
      </c>
      <c r="E46" s="2" t="s">
        <v>26</v>
      </c>
      <c r="F46" s="2" t="s">
        <v>15</v>
      </c>
      <c r="G46" s="2" t="s">
        <v>135</v>
      </c>
      <c r="H46">
        <v>1</v>
      </c>
      <c r="I46">
        <v>45000</v>
      </c>
      <c r="J46">
        <v>32000</v>
      </c>
      <c r="K46">
        <v>13000</v>
      </c>
      <c r="L46" s="4">
        <v>0.28888888888888897</v>
      </c>
      <c r="M46" s="2" t="s">
        <v>123</v>
      </c>
      <c r="N46" s="2" t="s">
        <v>37</v>
      </c>
      <c r="O46" s="2" t="s">
        <v>99</v>
      </c>
      <c r="P46" t="s">
        <v>184</v>
      </c>
    </row>
    <row r="47" spans="1:16" x14ac:dyDescent="0.35">
      <c r="A47">
        <v>1046</v>
      </c>
      <c r="B47" s="2" t="s">
        <v>41</v>
      </c>
      <c r="C47" s="3">
        <v>46196</v>
      </c>
      <c r="D47" s="2" t="s">
        <v>43</v>
      </c>
      <c r="E47" s="2" t="s">
        <v>14</v>
      </c>
      <c r="F47" s="2" t="s">
        <v>21</v>
      </c>
      <c r="G47" s="2" t="s">
        <v>16</v>
      </c>
      <c r="H47">
        <v>2</v>
      </c>
      <c r="I47">
        <v>12000</v>
      </c>
      <c r="J47">
        <v>7000</v>
      </c>
      <c r="K47">
        <v>5000</v>
      </c>
      <c r="L47" s="4">
        <v>0.41666666666666702</v>
      </c>
      <c r="M47" s="2" t="s">
        <v>123</v>
      </c>
      <c r="N47" s="2" t="s">
        <v>44</v>
      </c>
      <c r="O47" s="2" t="s">
        <v>100</v>
      </c>
      <c r="P47" t="s">
        <v>185</v>
      </c>
    </row>
    <row r="48" spans="1:16" x14ac:dyDescent="0.35">
      <c r="A48">
        <v>1047</v>
      </c>
      <c r="B48" s="2" t="s">
        <v>45</v>
      </c>
      <c r="C48" s="3">
        <v>46199</v>
      </c>
      <c r="D48" s="2" t="s">
        <v>47</v>
      </c>
      <c r="E48" s="2" t="s">
        <v>26</v>
      </c>
      <c r="F48" s="2" t="s">
        <v>27</v>
      </c>
      <c r="G48" s="2" t="s">
        <v>136</v>
      </c>
      <c r="H48">
        <v>1</v>
      </c>
      <c r="I48">
        <v>22000</v>
      </c>
      <c r="J48">
        <v>15500</v>
      </c>
      <c r="K48">
        <v>6500</v>
      </c>
      <c r="L48" s="4">
        <v>0.29545454545454602</v>
      </c>
      <c r="M48" s="2" t="s">
        <v>123</v>
      </c>
      <c r="N48" s="2" t="s">
        <v>48</v>
      </c>
      <c r="O48" s="2" t="s">
        <v>108</v>
      </c>
      <c r="P48" t="s">
        <v>186</v>
      </c>
    </row>
    <row r="49" spans="1:16" x14ac:dyDescent="0.35">
      <c r="A49">
        <v>1048</v>
      </c>
      <c r="B49" s="2" t="s">
        <v>49</v>
      </c>
      <c r="C49" s="3">
        <v>46202</v>
      </c>
      <c r="D49" s="2" t="s">
        <v>13</v>
      </c>
      <c r="E49" s="2" t="s">
        <v>14</v>
      </c>
      <c r="F49" s="2" t="s">
        <v>32</v>
      </c>
      <c r="G49" s="2" t="s">
        <v>16</v>
      </c>
      <c r="H49">
        <v>1</v>
      </c>
      <c r="I49">
        <v>60000</v>
      </c>
      <c r="J49">
        <v>45000</v>
      </c>
      <c r="K49">
        <v>15000</v>
      </c>
      <c r="L49" s="4">
        <v>0.25</v>
      </c>
      <c r="M49" s="2" t="s">
        <v>123</v>
      </c>
      <c r="N49" s="2" t="s">
        <v>51</v>
      </c>
      <c r="O49" s="2" t="s">
        <v>102</v>
      </c>
      <c r="P49" t="s">
        <v>183</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election activeCell="F10" sqref="F10"/>
    </sheetView>
  </sheetViews>
  <sheetFormatPr defaultRowHeight="14.5" x14ac:dyDescent="0.35"/>
  <cols>
    <col min="1" max="1" width="13.26953125" customWidth="1"/>
    <col min="2" max="2" width="16.36328125" customWidth="1"/>
    <col min="3" max="3" width="20.36328125" bestFit="1" customWidth="1"/>
    <col min="4" max="4" width="10.6328125" customWidth="1"/>
  </cols>
  <sheetData>
    <row r="1" spans="1:4" x14ac:dyDescent="0.35">
      <c r="A1" s="1" t="s">
        <v>1</v>
      </c>
      <c r="B1" s="1" t="s">
        <v>95</v>
      </c>
      <c r="C1" s="1" t="s">
        <v>96</v>
      </c>
      <c r="D1" s="1" t="s">
        <v>97</v>
      </c>
    </row>
    <row r="2" spans="1:4" x14ac:dyDescent="0.35">
      <c r="A2" t="s">
        <v>38</v>
      </c>
      <c r="B2" t="s">
        <v>17</v>
      </c>
      <c r="C2" s="15" t="s">
        <v>98</v>
      </c>
      <c r="D2" t="s">
        <v>99</v>
      </c>
    </row>
    <row r="3" spans="1:4" x14ac:dyDescent="0.35">
      <c r="A3" t="s">
        <v>18</v>
      </c>
      <c r="B3" t="s">
        <v>22</v>
      </c>
      <c r="C3" s="15" t="s">
        <v>194</v>
      </c>
      <c r="D3" t="s">
        <v>100</v>
      </c>
    </row>
    <row r="4" spans="1:4" x14ac:dyDescent="0.35">
      <c r="A4" t="s">
        <v>23</v>
      </c>
      <c r="B4" t="s">
        <v>28</v>
      </c>
      <c r="C4" s="15" t="s">
        <v>101</v>
      </c>
      <c r="D4" t="s">
        <v>102</v>
      </c>
    </row>
    <row r="5" spans="1:4" x14ac:dyDescent="0.35">
      <c r="A5" t="s">
        <v>29</v>
      </c>
      <c r="B5" t="s">
        <v>33</v>
      </c>
      <c r="C5" s="15" t="s">
        <v>103</v>
      </c>
      <c r="D5" t="s">
        <v>104</v>
      </c>
    </row>
    <row r="6" spans="1:4" x14ac:dyDescent="0.35">
      <c r="A6" t="s">
        <v>34</v>
      </c>
      <c r="B6" t="s">
        <v>37</v>
      </c>
      <c r="C6" s="15" t="s">
        <v>105</v>
      </c>
      <c r="D6" t="s">
        <v>99</v>
      </c>
    </row>
    <row r="7" spans="1:4" x14ac:dyDescent="0.35">
      <c r="A7" t="s">
        <v>41</v>
      </c>
      <c r="B7" t="s">
        <v>44</v>
      </c>
      <c r="C7" s="15" t="s">
        <v>106</v>
      </c>
      <c r="D7" t="s">
        <v>100</v>
      </c>
    </row>
    <row r="8" spans="1:4" x14ac:dyDescent="0.35">
      <c r="A8" t="s">
        <v>45</v>
      </c>
      <c r="B8" t="s">
        <v>48</v>
      </c>
      <c r="C8" s="15" t="s">
        <v>107</v>
      </c>
      <c r="D8" t="s">
        <v>108</v>
      </c>
    </row>
    <row r="9" spans="1:4" x14ac:dyDescent="0.35">
      <c r="A9" t="s">
        <v>49</v>
      </c>
      <c r="B9" t="s">
        <v>51</v>
      </c>
      <c r="C9" s="15" t="s">
        <v>109</v>
      </c>
      <c r="D9" t="s">
        <v>102</v>
      </c>
    </row>
    <row r="10" spans="1:4" x14ac:dyDescent="0.35">
      <c r="A10" t="s">
        <v>52</v>
      </c>
      <c r="B10" t="s">
        <v>54</v>
      </c>
      <c r="C10" s="15" t="s">
        <v>110</v>
      </c>
      <c r="D10" t="s">
        <v>100</v>
      </c>
    </row>
    <row r="11" spans="1:4" x14ac:dyDescent="0.35">
      <c r="A11" t="s">
        <v>55</v>
      </c>
      <c r="B11" t="s">
        <v>57</v>
      </c>
      <c r="C11" s="15" t="s">
        <v>111</v>
      </c>
      <c r="D11" t="s">
        <v>99</v>
      </c>
    </row>
  </sheetData>
  <hyperlinks>
    <hyperlink ref="C3" r:id="rId1" xr:uid="{F9EC9039-1558-41F7-B74C-9584FF083B22}"/>
    <hyperlink ref="C6" r:id="rId2" xr:uid="{3A15CD69-6E73-41A4-A6D9-A7863C196E92}"/>
    <hyperlink ref="C2" r:id="rId3" xr:uid="{3199E9AF-A8A3-43A4-8BB8-4680727C87D5}"/>
    <hyperlink ref="C4" r:id="rId4" xr:uid="{EBB250CE-32B8-4ED5-B4E2-734D7B22585B}"/>
    <hyperlink ref="C5" r:id="rId5" xr:uid="{FA7F745A-9401-4593-B653-0AEBB220DDA9}"/>
    <hyperlink ref="C7" r:id="rId6" xr:uid="{286EF206-0221-4C2E-9517-B17966030020}"/>
    <hyperlink ref="C8" r:id="rId7" xr:uid="{C28C528A-77F6-42D3-B1B7-F1EB5E947ECF}"/>
    <hyperlink ref="C9" r:id="rId8" xr:uid="{CAF4E35E-1094-4828-B5F5-B9EC8D29939E}"/>
    <hyperlink ref="C10" r:id="rId9" xr:uid="{DAADDEC9-B141-45EF-AA03-D629F0BF4453}"/>
    <hyperlink ref="C11" r:id="rId10" xr:uid="{362C2D1F-CC2B-4282-8EB4-439A9BCEB15C}"/>
  </hyperlinks>
  <pageMargins left="0.75" right="0.75" top="1" bottom="1" header="0.5" footer="0.5"/>
  <pageSetup orientation="portrait" r:id="rId11"/>
  <tableParts count="1">
    <tablePart r:id="rId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E12" sqref="E12"/>
    </sheetView>
  </sheetViews>
  <sheetFormatPr defaultRowHeight="14.5" x14ac:dyDescent="0.35"/>
  <cols>
    <col min="1" max="1" width="10.54296875" bestFit="1" customWidth="1"/>
    <col min="2" max="2" width="12" customWidth="1"/>
    <col min="3" max="3" width="11.6328125" customWidth="1"/>
    <col min="4" max="4" width="12.08984375" customWidth="1"/>
  </cols>
  <sheetData>
    <row r="1" spans="1:4" x14ac:dyDescent="0.35">
      <c r="A1" s="1" t="s">
        <v>3</v>
      </c>
      <c r="B1" s="1" t="s">
        <v>112</v>
      </c>
      <c r="C1" s="1" t="s">
        <v>113</v>
      </c>
      <c r="D1" s="1" t="s">
        <v>114</v>
      </c>
    </row>
    <row r="2" spans="1:4" x14ac:dyDescent="0.35">
      <c r="A2" t="s">
        <v>13</v>
      </c>
      <c r="B2">
        <v>150000</v>
      </c>
      <c r="C2">
        <v>180000</v>
      </c>
      <c r="D2">
        <v>200000</v>
      </c>
    </row>
    <row r="3" spans="1:4" x14ac:dyDescent="0.35">
      <c r="A3" t="s">
        <v>20</v>
      </c>
      <c r="B3">
        <v>20000</v>
      </c>
      <c r="C3">
        <v>25000</v>
      </c>
      <c r="D3">
        <v>30000</v>
      </c>
    </row>
    <row r="4" spans="1:4" x14ac:dyDescent="0.35">
      <c r="A4" t="s">
        <v>31</v>
      </c>
      <c r="B4">
        <v>25000</v>
      </c>
      <c r="C4">
        <v>30000</v>
      </c>
      <c r="D4">
        <v>35000</v>
      </c>
    </row>
    <row r="5" spans="1:4" x14ac:dyDescent="0.35">
      <c r="A5" t="s">
        <v>40</v>
      </c>
      <c r="B5">
        <v>50000</v>
      </c>
      <c r="C5">
        <v>60000</v>
      </c>
      <c r="D5">
        <v>65000</v>
      </c>
    </row>
    <row r="6" spans="1:4" x14ac:dyDescent="0.35">
      <c r="A6" t="s">
        <v>25</v>
      </c>
      <c r="B6">
        <v>30000</v>
      </c>
      <c r="C6">
        <v>35000</v>
      </c>
      <c r="D6">
        <v>40000</v>
      </c>
    </row>
  </sheetData>
  <pageMargins left="0.75" right="0.75" top="1" bottom="1" header="0.5" footer="0.5"/>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E27D1-246F-4A68-9FB6-C77198E4F666}">
  <dimension ref="A1:D16"/>
  <sheetViews>
    <sheetView workbookViewId="0">
      <selection activeCell="F15" sqref="F15"/>
    </sheetView>
  </sheetViews>
  <sheetFormatPr defaultRowHeight="14.5" x14ac:dyDescent="0.35"/>
  <cols>
    <col min="1" max="1" width="10.54296875" bestFit="1" customWidth="1"/>
    <col min="2" max="2" width="8.81640625" bestFit="1" customWidth="1"/>
    <col min="3" max="3" width="8.453125" bestFit="1" customWidth="1"/>
    <col min="4" max="4" width="19.1796875" bestFit="1" customWidth="1"/>
  </cols>
  <sheetData>
    <row r="1" spans="1:4" x14ac:dyDescent="0.35">
      <c r="A1" t="s">
        <v>3</v>
      </c>
      <c r="B1" t="s">
        <v>117</v>
      </c>
      <c r="C1" t="s">
        <v>143</v>
      </c>
      <c r="D1" t="s">
        <v>144</v>
      </c>
    </row>
    <row r="2" spans="1:4" x14ac:dyDescent="0.35">
      <c r="A2" s="2" t="s">
        <v>13</v>
      </c>
      <c r="B2" s="2" t="s">
        <v>118</v>
      </c>
      <c r="C2">
        <v>150000</v>
      </c>
      <c r="D2" t="s">
        <v>145</v>
      </c>
    </row>
    <row r="3" spans="1:4" x14ac:dyDescent="0.35">
      <c r="A3" s="2" t="s">
        <v>13</v>
      </c>
      <c r="B3" s="2" t="s">
        <v>119</v>
      </c>
      <c r="C3">
        <v>180000</v>
      </c>
      <c r="D3" t="s">
        <v>146</v>
      </c>
    </row>
    <row r="4" spans="1:4" x14ac:dyDescent="0.35">
      <c r="A4" s="2" t="s">
        <v>13</v>
      </c>
      <c r="B4" s="2" t="s">
        <v>120</v>
      </c>
      <c r="C4">
        <v>200000</v>
      </c>
      <c r="D4" t="s">
        <v>147</v>
      </c>
    </row>
    <row r="5" spans="1:4" x14ac:dyDescent="0.35">
      <c r="A5" s="2" t="s">
        <v>20</v>
      </c>
      <c r="B5" s="2" t="s">
        <v>118</v>
      </c>
      <c r="C5">
        <v>20000</v>
      </c>
      <c r="D5" t="s">
        <v>148</v>
      </c>
    </row>
    <row r="6" spans="1:4" x14ac:dyDescent="0.35">
      <c r="A6" s="2" t="s">
        <v>20</v>
      </c>
      <c r="B6" s="2" t="s">
        <v>119</v>
      </c>
      <c r="C6">
        <v>25000</v>
      </c>
      <c r="D6" t="s">
        <v>149</v>
      </c>
    </row>
    <row r="7" spans="1:4" x14ac:dyDescent="0.35">
      <c r="A7" s="2" t="s">
        <v>20</v>
      </c>
      <c r="B7" s="2" t="s">
        <v>120</v>
      </c>
      <c r="C7">
        <v>30000</v>
      </c>
      <c r="D7" t="s">
        <v>150</v>
      </c>
    </row>
    <row r="8" spans="1:4" x14ac:dyDescent="0.35">
      <c r="A8" s="2" t="s">
        <v>31</v>
      </c>
      <c r="B8" s="2" t="s">
        <v>118</v>
      </c>
      <c r="C8">
        <v>25000</v>
      </c>
      <c r="D8" t="s">
        <v>151</v>
      </c>
    </row>
    <row r="9" spans="1:4" x14ac:dyDescent="0.35">
      <c r="A9" s="2" t="s">
        <v>31</v>
      </c>
      <c r="B9" s="2" t="s">
        <v>119</v>
      </c>
      <c r="C9">
        <v>30000</v>
      </c>
      <c r="D9" t="s">
        <v>152</v>
      </c>
    </row>
    <row r="10" spans="1:4" x14ac:dyDescent="0.35">
      <c r="A10" s="2" t="s">
        <v>31</v>
      </c>
      <c r="B10" s="2" t="s">
        <v>120</v>
      </c>
      <c r="C10">
        <v>35000</v>
      </c>
      <c r="D10" t="s">
        <v>153</v>
      </c>
    </row>
    <row r="11" spans="1:4" x14ac:dyDescent="0.35">
      <c r="A11" s="2" t="s">
        <v>40</v>
      </c>
      <c r="B11" s="2" t="s">
        <v>118</v>
      </c>
      <c r="C11">
        <v>50000</v>
      </c>
      <c r="D11" t="s">
        <v>154</v>
      </c>
    </row>
    <row r="12" spans="1:4" x14ac:dyDescent="0.35">
      <c r="A12" s="2" t="s">
        <v>40</v>
      </c>
      <c r="B12" s="2" t="s">
        <v>119</v>
      </c>
      <c r="C12">
        <v>60000</v>
      </c>
      <c r="D12" t="s">
        <v>155</v>
      </c>
    </row>
    <row r="13" spans="1:4" x14ac:dyDescent="0.35">
      <c r="A13" s="2" t="s">
        <v>40</v>
      </c>
      <c r="B13" s="2" t="s">
        <v>120</v>
      </c>
      <c r="C13">
        <v>65000</v>
      </c>
      <c r="D13" t="s">
        <v>156</v>
      </c>
    </row>
    <row r="14" spans="1:4" x14ac:dyDescent="0.35">
      <c r="A14" s="2" t="s">
        <v>25</v>
      </c>
      <c r="B14" s="2" t="s">
        <v>118</v>
      </c>
      <c r="C14">
        <v>30000</v>
      </c>
      <c r="D14" t="s">
        <v>157</v>
      </c>
    </row>
    <row r="15" spans="1:4" x14ac:dyDescent="0.35">
      <c r="A15" s="2" t="s">
        <v>25</v>
      </c>
      <c r="B15" s="2" t="s">
        <v>119</v>
      </c>
      <c r="C15">
        <v>35000</v>
      </c>
      <c r="D15" t="s">
        <v>158</v>
      </c>
    </row>
    <row r="16" spans="1:4" x14ac:dyDescent="0.35">
      <c r="A16" s="2" t="s">
        <v>25</v>
      </c>
      <c r="B16" s="2" t="s">
        <v>120</v>
      </c>
      <c r="C16">
        <v>40000</v>
      </c>
      <c r="D16" t="s">
        <v>159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701C1-729D-4D87-ABDA-C841F5A53CE5}">
  <dimension ref="A1:M49"/>
  <sheetViews>
    <sheetView showGridLines="0" topLeftCell="A19" zoomScale="90" zoomScaleNormal="90" workbookViewId="0">
      <selection activeCell="R22" sqref="R22"/>
    </sheetView>
  </sheetViews>
  <sheetFormatPr defaultRowHeight="14.5" x14ac:dyDescent="0.35"/>
  <cols>
    <col min="1" max="1" width="11" bestFit="1" customWidth="1"/>
    <col min="2" max="2" width="11.90625" bestFit="1" customWidth="1"/>
    <col min="3" max="3" width="13.08984375" bestFit="1" customWidth="1"/>
    <col min="4" max="4" width="11" bestFit="1" customWidth="1"/>
    <col min="5" max="5" width="16.26953125" bestFit="1" customWidth="1"/>
    <col min="6" max="6" width="11" customWidth="1"/>
    <col min="7" max="7" width="11" bestFit="1" customWidth="1"/>
    <col min="8" max="8" width="11.90625" bestFit="1" customWidth="1"/>
    <col min="9" max="9" width="12.36328125" bestFit="1" customWidth="1"/>
    <col min="10" max="10" width="10.81640625" bestFit="1" customWidth="1"/>
    <col min="11" max="11" width="5.81640625" bestFit="1" customWidth="1"/>
    <col min="12" max="12" width="6.81640625" bestFit="1" customWidth="1"/>
    <col min="13" max="19" width="5.81640625" bestFit="1" customWidth="1"/>
    <col min="20" max="20" width="6.81640625" bestFit="1" customWidth="1"/>
    <col min="21" max="26" width="5.81640625" bestFit="1" customWidth="1"/>
    <col min="27" max="27" width="6.81640625" bestFit="1" customWidth="1"/>
    <col min="28" max="32" width="5.81640625" bestFit="1" customWidth="1"/>
    <col min="33" max="33" width="6.81640625" bestFit="1" customWidth="1"/>
    <col min="34" max="42" width="5.81640625" bestFit="1" customWidth="1"/>
    <col min="43" max="43" width="6.81640625" bestFit="1" customWidth="1"/>
    <col min="44" max="47" width="5.81640625" bestFit="1" customWidth="1"/>
    <col min="48" max="48" width="10.7265625" bestFit="1" customWidth="1"/>
  </cols>
  <sheetData>
    <row r="1" spans="1:9" x14ac:dyDescent="0.35">
      <c r="A1" s="29" t="s">
        <v>137</v>
      </c>
      <c r="B1" s="30"/>
      <c r="C1" s="30"/>
      <c r="D1" s="30"/>
      <c r="E1" s="30"/>
      <c r="F1" s="30"/>
      <c r="G1" s="30"/>
      <c r="H1" s="30"/>
      <c r="I1" s="30"/>
    </row>
    <row r="2" spans="1:9" x14ac:dyDescent="0.35">
      <c r="A2" s="30"/>
      <c r="B2" s="30"/>
      <c r="C2" s="30"/>
      <c r="D2" s="30"/>
      <c r="E2" s="30"/>
      <c r="F2" s="30"/>
      <c r="G2" s="30"/>
      <c r="H2" s="30"/>
      <c r="I2" s="30"/>
    </row>
    <row r="3" spans="1:9" x14ac:dyDescent="0.35">
      <c r="A3" s="8"/>
      <c r="B3" s="8"/>
      <c r="C3" s="8"/>
      <c r="D3" s="8"/>
      <c r="E3" s="8"/>
      <c r="F3" s="8"/>
      <c r="G3" s="8"/>
      <c r="H3" s="8"/>
      <c r="I3" s="8"/>
    </row>
    <row r="4" spans="1:9" ht="18.5" x14ac:dyDescent="0.45">
      <c r="A4" s="31" t="s">
        <v>138</v>
      </c>
      <c r="B4" s="31"/>
      <c r="C4" s="31"/>
      <c r="D4" s="31"/>
      <c r="E4" s="31"/>
      <c r="F4" s="31"/>
      <c r="G4" s="31"/>
      <c r="H4" s="31"/>
      <c r="I4" s="31"/>
    </row>
    <row r="5" spans="1:9" s="19" customFormat="1" ht="14" customHeight="1" x14ac:dyDescent="0.45">
      <c r="A5" s="18"/>
      <c r="B5" s="18"/>
      <c r="C5" s="18"/>
      <c r="D5" s="18"/>
      <c r="E5" s="18"/>
      <c r="F5" s="18"/>
      <c r="G5" s="18"/>
      <c r="H5" s="18"/>
      <c r="I5" s="18"/>
    </row>
    <row r="6" spans="1:9" x14ac:dyDescent="0.35">
      <c r="A6" s="16" t="s">
        <v>131</v>
      </c>
      <c r="C6" s="16" t="s">
        <v>132</v>
      </c>
      <c r="D6" s="7"/>
      <c r="E6" s="16" t="s">
        <v>133</v>
      </c>
      <c r="F6" s="7"/>
      <c r="G6" s="16" t="s">
        <v>134</v>
      </c>
      <c r="H6" s="7"/>
      <c r="I6" s="16" t="s">
        <v>116</v>
      </c>
    </row>
    <row r="7" spans="1:9" x14ac:dyDescent="0.35">
      <c r="A7" s="17">
        <f>GETPIVOTDATA("Sales",$A$10)</f>
        <v>2493000</v>
      </c>
      <c r="C7" s="17">
        <f>GETPIVOTDATA("Profit",$D$10)</f>
        <v>725500</v>
      </c>
      <c r="D7" s="7"/>
      <c r="E7" s="17">
        <f>GETPIVOTDATA("Order ID",$D$34)</f>
        <v>48</v>
      </c>
      <c r="F7" s="7"/>
      <c r="G7" s="20">
        <f>GETPIVOTDATA("Quantity",$D$20)</f>
        <v>141</v>
      </c>
      <c r="H7" s="7"/>
      <c r="I7" s="21">
        <f>IFERROR(C7/A7,0)</f>
        <v>0.29101484155635782</v>
      </c>
    </row>
    <row r="9" spans="1:9" x14ac:dyDescent="0.35">
      <c r="A9" s="27" t="s">
        <v>129</v>
      </c>
      <c r="B9" s="28"/>
      <c r="D9" s="27" t="s">
        <v>130</v>
      </c>
      <c r="E9" s="28"/>
      <c r="G9" s="27" t="s">
        <v>188</v>
      </c>
      <c r="H9" s="28"/>
      <c r="I9" s="28"/>
    </row>
    <row r="10" spans="1:9" x14ac:dyDescent="0.35">
      <c r="A10" s="5" t="s">
        <v>4</v>
      </c>
      <c r="B10" t="s">
        <v>125</v>
      </c>
      <c r="D10" s="5" t="s">
        <v>4</v>
      </c>
      <c r="E10" t="s">
        <v>126</v>
      </c>
      <c r="G10" s="5" t="s">
        <v>117</v>
      </c>
      <c r="H10" t="s">
        <v>125</v>
      </c>
      <c r="I10" t="s">
        <v>126</v>
      </c>
    </row>
    <row r="11" spans="1:9" x14ac:dyDescent="0.35">
      <c r="A11" s="6" t="s">
        <v>14</v>
      </c>
      <c r="B11" s="2">
        <v>1620000</v>
      </c>
      <c r="C11" s="2"/>
      <c r="D11" s="6" t="s">
        <v>14</v>
      </c>
      <c r="E11" s="2">
        <v>470000</v>
      </c>
      <c r="F11" s="2"/>
      <c r="G11" s="6" t="s">
        <v>118</v>
      </c>
      <c r="H11" s="2">
        <v>397500</v>
      </c>
      <c r="I11" s="2">
        <v>114000</v>
      </c>
    </row>
    <row r="12" spans="1:9" x14ac:dyDescent="0.35">
      <c r="A12" s="6" t="s">
        <v>26</v>
      </c>
      <c r="B12" s="2">
        <v>873000</v>
      </c>
      <c r="C12" s="2"/>
      <c r="D12" s="6" t="s">
        <v>26</v>
      </c>
      <c r="E12" s="2">
        <v>255500</v>
      </c>
      <c r="F12" s="2"/>
      <c r="G12" s="6" t="s">
        <v>119</v>
      </c>
      <c r="H12" s="2">
        <v>370000</v>
      </c>
      <c r="I12" s="2">
        <v>112000</v>
      </c>
    </row>
    <row r="13" spans="1:9" x14ac:dyDescent="0.35">
      <c r="A13" s="6" t="s">
        <v>124</v>
      </c>
      <c r="B13" s="2">
        <v>2493000</v>
      </c>
      <c r="C13" s="2"/>
      <c r="D13" s="6" t="s">
        <v>124</v>
      </c>
      <c r="E13" s="2">
        <v>725500</v>
      </c>
      <c r="F13" s="2"/>
      <c r="G13" s="6" t="s">
        <v>120</v>
      </c>
      <c r="H13" s="2">
        <v>479000</v>
      </c>
      <c r="I13" s="2">
        <v>139000</v>
      </c>
    </row>
    <row r="14" spans="1:9" x14ac:dyDescent="0.35">
      <c r="A14" s="6"/>
      <c r="B14" s="2"/>
      <c r="C14" s="2"/>
      <c r="F14" s="2"/>
      <c r="G14" s="6" t="s">
        <v>121</v>
      </c>
      <c r="H14" s="2">
        <v>340000</v>
      </c>
      <c r="I14" s="2">
        <v>102500</v>
      </c>
    </row>
    <row r="15" spans="1:9" x14ac:dyDescent="0.35">
      <c r="G15" s="6" t="s">
        <v>122</v>
      </c>
      <c r="H15" s="2">
        <v>477500</v>
      </c>
      <c r="I15" s="2">
        <v>139000</v>
      </c>
    </row>
    <row r="16" spans="1:9" x14ac:dyDescent="0.35">
      <c r="G16" s="6" t="s">
        <v>123</v>
      </c>
      <c r="H16" s="2">
        <v>429000</v>
      </c>
      <c r="I16" s="2">
        <v>119000</v>
      </c>
    </row>
    <row r="17" spans="1:13" x14ac:dyDescent="0.35">
      <c r="G17" s="6" t="s">
        <v>124</v>
      </c>
      <c r="H17" s="2">
        <v>2493000</v>
      </c>
      <c r="I17" s="2">
        <v>725500</v>
      </c>
    </row>
    <row r="18" spans="1:13" x14ac:dyDescent="0.35">
      <c r="G18" s="6"/>
      <c r="H18" s="2"/>
    </row>
    <row r="19" spans="1:13" x14ac:dyDescent="0.35">
      <c r="A19" s="27" t="s">
        <v>189</v>
      </c>
      <c r="B19" s="28"/>
      <c r="D19" s="27" t="s">
        <v>190</v>
      </c>
      <c r="E19" s="28"/>
      <c r="G19" s="27" t="s">
        <v>191</v>
      </c>
      <c r="H19" s="28"/>
    </row>
    <row r="20" spans="1:13" x14ac:dyDescent="0.35">
      <c r="A20" s="5" t="s">
        <v>5</v>
      </c>
      <c r="B20" t="s">
        <v>125</v>
      </c>
      <c r="D20" s="5" t="s">
        <v>3</v>
      </c>
      <c r="E20" t="s">
        <v>127</v>
      </c>
      <c r="G20" s="5" t="s">
        <v>10</v>
      </c>
      <c r="H20" t="s">
        <v>125</v>
      </c>
      <c r="J20" s="27"/>
      <c r="K20" s="28"/>
      <c r="L20" s="28"/>
    </row>
    <row r="21" spans="1:13" x14ac:dyDescent="0.35">
      <c r="A21" s="6" t="s">
        <v>27</v>
      </c>
      <c r="B21" s="2">
        <v>453000</v>
      </c>
      <c r="D21" s="6" t="s">
        <v>40</v>
      </c>
      <c r="E21" s="2">
        <v>9</v>
      </c>
      <c r="G21" s="6" t="s">
        <v>54</v>
      </c>
      <c r="H21" s="2">
        <v>82500</v>
      </c>
    </row>
    <row r="22" spans="1:13" x14ac:dyDescent="0.35">
      <c r="A22" s="6" t="s">
        <v>15</v>
      </c>
      <c r="B22" s="2">
        <v>925000</v>
      </c>
      <c r="D22" s="6" t="s">
        <v>47</v>
      </c>
      <c r="E22" s="2">
        <v>9</v>
      </c>
      <c r="G22" s="6" t="s">
        <v>44</v>
      </c>
      <c r="H22" s="2">
        <v>120000</v>
      </c>
    </row>
    <row r="23" spans="1:13" x14ac:dyDescent="0.35">
      <c r="A23" s="6" t="s">
        <v>21</v>
      </c>
      <c r="B23" s="2">
        <v>330000</v>
      </c>
      <c r="D23" s="6" t="s">
        <v>36</v>
      </c>
      <c r="E23" s="2">
        <v>11</v>
      </c>
      <c r="G23" s="6" t="s">
        <v>22</v>
      </c>
      <c r="H23" s="2">
        <v>127500</v>
      </c>
    </row>
    <row r="24" spans="1:13" x14ac:dyDescent="0.35">
      <c r="A24" s="6" t="s">
        <v>32</v>
      </c>
      <c r="B24" s="2">
        <v>785000</v>
      </c>
      <c r="D24" s="6" t="s">
        <v>25</v>
      </c>
      <c r="E24" s="2">
        <v>12</v>
      </c>
      <c r="G24" s="6" t="s">
        <v>48</v>
      </c>
      <c r="H24" s="2">
        <v>198000</v>
      </c>
    </row>
    <row r="25" spans="1:13" x14ac:dyDescent="0.35">
      <c r="A25" s="6" t="s">
        <v>124</v>
      </c>
      <c r="B25" s="2">
        <v>2493000</v>
      </c>
      <c r="D25" s="6" t="s">
        <v>13</v>
      </c>
      <c r="E25" s="2">
        <v>16</v>
      </c>
      <c r="G25" s="6" t="s">
        <v>37</v>
      </c>
      <c r="H25" s="2">
        <v>255000</v>
      </c>
    </row>
    <row r="26" spans="1:13" x14ac:dyDescent="0.35">
      <c r="D26" s="6" t="s">
        <v>43</v>
      </c>
      <c r="E26" s="2">
        <v>20</v>
      </c>
      <c r="G26" s="6" t="s">
        <v>28</v>
      </c>
      <c r="H26" s="2">
        <v>255000</v>
      </c>
    </row>
    <row r="27" spans="1:13" x14ac:dyDescent="0.35">
      <c r="D27" s="6" t="s">
        <v>31</v>
      </c>
      <c r="E27" s="2">
        <v>26</v>
      </c>
      <c r="G27" s="6" t="s">
        <v>57</v>
      </c>
      <c r="H27" s="2">
        <v>270000</v>
      </c>
    </row>
    <row r="28" spans="1:13" x14ac:dyDescent="0.35">
      <c r="D28" s="6" t="s">
        <v>20</v>
      </c>
      <c r="E28" s="2">
        <v>38</v>
      </c>
      <c r="G28" s="6" t="s">
        <v>51</v>
      </c>
      <c r="H28" s="2">
        <v>360000</v>
      </c>
    </row>
    <row r="29" spans="1:13" x14ac:dyDescent="0.35">
      <c r="D29" s="6" t="s">
        <v>124</v>
      </c>
      <c r="E29" s="2">
        <v>141</v>
      </c>
      <c r="G29" s="6" t="s">
        <v>17</v>
      </c>
      <c r="H29" s="2">
        <v>400000</v>
      </c>
    </row>
    <row r="30" spans="1:13" x14ac:dyDescent="0.35">
      <c r="G30" s="6" t="s">
        <v>33</v>
      </c>
      <c r="H30" s="2">
        <v>425000</v>
      </c>
    </row>
    <row r="31" spans="1:13" x14ac:dyDescent="0.35">
      <c r="G31" s="6" t="s">
        <v>124</v>
      </c>
      <c r="H31" s="2">
        <v>2493000</v>
      </c>
    </row>
    <row r="32" spans="1:13" x14ac:dyDescent="0.35">
      <c r="K32" s="27"/>
      <c r="L32" s="28"/>
      <c r="M32" s="28"/>
    </row>
    <row r="33" spans="1:9" x14ac:dyDescent="0.35">
      <c r="A33" s="27" t="s">
        <v>192</v>
      </c>
      <c r="B33" s="28"/>
      <c r="D33" s="27" t="s">
        <v>193</v>
      </c>
      <c r="E33" s="28"/>
      <c r="F33" s="12"/>
      <c r="G33" s="27" t="s">
        <v>196</v>
      </c>
      <c r="H33" s="28"/>
      <c r="I33" s="28"/>
    </row>
    <row r="34" spans="1:9" x14ac:dyDescent="0.35">
      <c r="A34" s="5" t="s">
        <v>6</v>
      </c>
      <c r="B34" t="s">
        <v>125</v>
      </c>
      <c r="D34" s="5" t="s">
        <v>5</v>
      </c>
      <c r="E34" t="s">
        <v>128</v>
      </c>
      <c r="G34" s="5" t="s">
        <v>144</v>
      </c>
      <c r="H34" t="s">
        <v>125</v>
      </c>
      <c r="I34" t="s">
        <v>187</v>
      </c>
    </row>
    <row r="35" spans="1:9" x14ac:dyDescent="0.35">
      <c r="A35" s="6" t="s">
        <v>136</v>
      </c>
      <c r="B35" s="2">
        <v>411000</v>
      </c>
      <c r="D35" s="6" t="s">
        <v>27</v>
      </c>
      <c r="E35" s="2">
        <v>10</v>
      </c>
      <c r="G35" s="6" t="s">
        <v>119</v>
      </c>
      <c r="H35" s="2">
        <v>250000</v>
      </c>
      <c r="I35" s="2">
        <v>330000</v>
      </c>
    </row>
    <row r="36" spans="1:9" x14ac:dyDescent="0.35">
      <c r="A36" s="6" t="s">
        <v>135</v>
      </c>
      <c r="B36" s="2">
        <v>592500</v>
      </c>
      <c r="D36" s="6" t="s">
        <v>15</v>
      </c>
      <c r="E36" s="2">
        <v>14</v>
      </c>
      <c r="G36" s="6" t="s">
        <v>118</v>
      </c>
      <c r="H36" s="2">
        <v>312500</v>
      </c>
      <c r="I36" s="2">
        <v>275000</v>
      </c>
    </row>
    <row r="37" spans="1:9" x14ac:dyDescent="0.35">
      <c r="A37" s="6" t="s">
        <v>16</v>
      </c>
      <c r="B37" s="2">
        <v>1489500</v>
      </c>
      <c r="D37" s="6" t="s">
        <v>21</v>
      </c>
      <c r="E37" s="2">
        <v>14</v>
      </c>
      <c r="G37" s="6" t="s">
        <v>120</v>
      </c>
      <c r="H37" s="2">
        <v>300000</v>
      </c>
      <c r="I37" s="2">
        <v>370000</v>
      </c>
    </row>
    <row r="38" spans="1:9" x14ac:dyDescent="0.35">
      <c r="A38" s="6" t="s">
        <v>124</v>
      </c>
      <c r="B38" s="2">
        <v>2493000</v>
      </c>
      <c r="D38" s="6" t="s">
        <v>32</v>
      </c>
      <c r="E38" s="2">
        <v>10</v>
      </c>
      <c r="G38" s="6" t="s">
        <v>124</v>
      </c>
      <c r="H38" s="2">
        <v>862500</v>
      </c>
      <c r="I38" s="2">
        <v>975000</v>
      </c>
    </row>
    <row r="39" spans="1:9" x14ac:dyDescent="0.35">
      <c r="D39" s="6" t="s">
        <v>124</v>
      </c>
      <c r="E39" s="2">
        <v>48</v>
      </c>
    </row>
    <row r="42" spans="1:9" ht="18.5" x14ac:dyDescent="0.45">
      <c r="A42" s="25" t="s">
        <v>195</v>
      </c>
      <c r="B42" s="26"/>
      <c r="C42" s="12"/>
    </row>
    <row r="44" spans="1:9" ht="15.5" x14ac:dyDescent="0.35">
      <c r="A44" s="24" t="s">
        <v>197</v>
      </c>
      <c r="B44" s="24"/>
      <c r="C44" s="24"/>
      <c r="D44" s="24"/>
      <c r="E44" s="24"/>
      <c r="F44" s="24"/>
      <c r="G44" s="24"/>
      <c r="H44" s="24"/>
      <c r="I44" s="24"/>
    </row>
    <row r="45" spans="1:9" ht="15.5" x14ac:dyDescent="0.35">
      <c r="A45" s="24" t="s">
        <v>198</v>
      </c>
      <c r="B45" s="24"/>
      <c r="C45" s="24"/>
      <c r="D45" s="24"/>
      <c r="E45" s="24"/>
      <c r="F45" s="24"/>
      <c r="G45" s="24"/>
      <c r="H45" s="24"/>
      <c r="I45" s="24"/>
    </row>
    <row r="46" spans="1:9" ht="15.5" x14ac:dyDescent="0.35">
      <c r="A46" s="24" t="s">
        <v>199</v>
      </c>
      <c r="B46" s="24"/>
      <c r="C46" s="24"/>
      <c r="D46" s="24"/>
      <c r="E46" s="24"/>
      <c r="F46" s="24"/>
      <c r="G46" s="24"/>
      <c r="H46" s="24"/>
      <c r="I46" s="24"/>
    </row>
    <row r="47" spans="1:9" ht="15.5" x14ac:dyDescent="0.35">
      <c r="A47" s="24" t="s">
        <v>200</v>
      </c>
      <c r="B47" s="24"/>
      <c r="C47" s="24"/>
      <c r="D47" s="24"/>
      <c r="E47" s="24"/>
      <c r="F47" s="24"/>
      <c r="G47" s="24"/>
      <c r="H47" s="24"/>
      <c r="I47" s="24"/>
    </row>
    <row r="48" spans="1:9" ht="15.5" x14ac:dyDescent="0.35">
      <c r="A48" s="24" t="s">
        <v>201</v>
      </c>
      <c r="B48" s="24"/>
      <c r="C48" s="24"/>
      <c r="D48" s="24"/>
      <c r="E48" s="24"/>
      <c r="F48" s="24"/>
      <c r="G48" s="24"/>
      <c r="H48" s="24"/>
      <c r="I48" s="24"/>
    </row>
    <row r="49" spans="1:9" ht="15.5" x14ac:dyDescent="0.35">
      <c r="A49" s="24" t="s">
        <v>202</v>
      </c>
      <c r="B49" s="24"/>
      <c r="C49" s="24"/>
      <c r="D49" s="24"/>
      <c r="E49" s="24"/>
      <c r="F49" s="24"/>
      <c r="G49" s="24"/>
      <c r="H49" s="24"/>
      <c r="I49" s="24"/>
    </row>
  </sheetData>
  <mergeCells count="20">
    <mergeCell ref="K32:M32"/>
    <mergeCell ref="J20:L20"/>
    <mergeCell ref="G33:I33"/>
    <mergeCell ref="A1:I2"/>
    <mergeCell ref="G19:H19"/>
    <mergeCell ref="A4:I4"/>
    <mergeCell ref="D33:E33"/>
    <mergeCell ref="G9:I9"/>
    <mergeCell ref="A9:B9"/>
    <mergeCell ref="D9:E9"/>
    <mergeCell ref="A19:B19"/>
    <mergeCell ref="D19:E19"/>
    <mergeCell ref="A33:B33"/>
    <mergeCell ref="A48:I48"/>
    <mergeCell ref="A49:I49"/>
    <mergeCell ref="A42:B42"/>
    <mergeCell ref="A44:I44"/>
    <mergeCell ref="A45:I45"/>
    <mergeCell ref="A46:I46"/>
    <mergeCell ref="A47:I47"/>
  </mergeCells>
  <pageMargins left="0.7" right="0.7" top="0.75" bottom="0.75" header="0.3" footer="0.3"/>
  <pageSetup orientation="portrait"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86B70-CCB8-49D5-BF51-56A1E5DBDC1A}">
  <dimension ref="A1:W7"/>
  <sheetViews>
    <sheetView showGridLines="0" topLeftCell="A23" zoomScale="60" zoomScaleNormal="60" workbookViewId="0">
      <selection activeCell="AD58" sqref="AD58"/>
    </sheetView>
  </sheetViews>
  <sheetFormatPr defaultRowHeight="14.5" x14ac:dyDescent="0.35"/>
  <sheetData>
    <row r="1" spans="1:23" ht="14.5" customHeight="1" x14ac:dyDescent="0.35">
      <c r="A1" s="32" t="s">
        <v>139</v>
      </c>
      <c r="B1" s="32"/>
      <c r="C1" s="32"/>
      <c r="D1" s="32"/>
      <c r="E1" s="32"/>
      <c r="F1" s="32"/>
      <c r="G1" s="32"/>
      <c r="H1" s="32"/>
      <c r="I1" s="32"/>
      <c r="J1" s="32"/>
      <c r="K1" s="32"/>
      <c r="L1" s="32"/>
      <c r="M1" s="32"/>
      <c r="N1" s="32"/>
      <c r="O1" s="32"/>
      <c r="P1" s="32"/>
      <c r="Q1" s="32"/>
      <c r="R1" s="32"/>
      <c r="S1" s="32"/>
      <c r="T1" s="32"/>
      <c r="U1" s="32"/>
      <c r="V1" s="32"/>
      <c r="W1" s="32"/>
    </row>
    <row r="2" spans="1:23" ht="14.5" customHeight="1" x14ac:dyDescent="0.35">
      <c r="A2" s="32"/>
      <c r="B2" s="32"/>
      <c r="C2" s="32"/>
      <c r="D2" s="32"/>
      <c r="E2" s="32"/>
      <c r="F2" s="32"/>
      <c r="G2" s="32"/>
      <c r="H2" s="32"/>
      <c r="I2" s="32"/>
      <c r="J2" s="32"/>
      <c r="K2" s="32"/>
      <c r="L2" s="32"/>
      <c r="M2" s="32"/>
      <c r="N2" s="32"/>
      <c r="O2" s="32"/>
      <c r="P2" s="32"/>
      <c r="Q2" s="32"/>
      <c r="R2" s="32"/>
      <c r="S2" s="32"/>
      <c r="T2" s="32"/>
      <c r="U2" s="32"/>
      <c r="V2" s="32"/>
      <c r="W2" s="32"/>
    </row>
    <row r="3" spans="1:23" x14ac:dyDescent="0.35">
      <c r="A3" s="9"/>
      <c r="B3" s="9"/>
      <c r="C3" s="9"/>
      <c r="D3" s="9"/>
      <c r="E3" s="9"/>
      <c r="F3" s="9"/>
      <c r="G3" s="9"/>
      <c r="H3" s="9"/>
      <c r="I3" s="9"/>
      <c r="J3" s="9"/>
      <c r="K3" s="9"/>
      <c r="L3" s="9"/>
      <c r="M3" s="9"/>
      <c r="N3" s="9"/>
      <c r="O3" s="9"/>
      <c r="P3" s="9"/>
      <c r="Q3" s="9"/>
    </row>
    <row r="4" spans="1:23" ht="15.5" x14ac:dyDescent="0.35">
      <c r="A4" s="33" t="s">
        <v>140</v>
      </c>
      <c r="B4" s="33"/>
      <c r="C4" s="33"/>
      <c r="D4" s="33"/>
      <c r="E4" s="33"/>
      <c r="F4" s="33"/>
      <c r="G4" s="33"/>
      <c r="H4" s="33"/>
      <c r="I4" s="33"/>
      <c r="J4" s="33"/>
      <c r="K4" s="33"/>
      <c r="L4" s="33"/>
      <c r="M4" s="33"/>
      <c r="N4" s="33"/>
      <c r="O4" s="33"/>
      <c r="P4" s="33"/>
      <c r="Q4" s="33"/>
      <c r="R4" s="33"/>
      <c r="S4" s="33"/>
      <c r="T4" s="33"/>
      <c r="U4" s="33"/>
      <c r="V4" s="33"/>
      <c r="W4" s="33"/>
    </row>
    <row r="5" spans="1:23" s="23" customFormat="1" ht="15.5" x14ac:dyDescent="0.35">
      <c r="A5" s="22"/>
      <c r="B5" s="22"/>
      <c r="C5" s="22"/>
      <c r="D5" s="22"/>
      <c r="E5" s="22"/>
      <c r="F5" s="22"/>
      <c r="G5" s="22"/>
      <c r="H5" s="22"/>
      <c r="I5" s="22"/>
      <c r="J5" s="22"/>
      <c r="K5" s="22"/>
      <c r="L5" s="22"/>
      <c r="M5" s="22"/>
      <c r="N5" s="22"/>
      <c r="O5" s="22"/>
      <c r="P5" s="22"/>
      <c r="Q5" s="22"/>
      <c r="R5" s="22"/>
      <c r="S5" s="22"/>
      <c r="T5" s="22"/>
      <c r="U5" s="22"/>
      <c r="V5" s="22"/>
      <c r="W5" s="22"/>
    </row>
    <row r="6" spans="1:23" s="10" customFormat="1" x14ac:dyDescent="0.35">
      <c r="A6" s="11"/>
      <c r="B6" s="34" t="s">
        <v>131</v>
      </c>
      <c r="C6" s="34"/>
      <c r="D6" s="11"/>
      <c r="E6" s="11"/>
      <c r="F6" s="34" t="s">
        <v>132</v>
      </c>
      <c r="G6" s="34"/>
      <c r="H6" s="11"/>
      <c r="I6" s="11"/>
      <c r="J6" s="34" t="s">
        <v>133</v>
      </c>
      <c r="K6" s="34"/>
      <c r="M6" s="11"/>
      <c r="N6" s="34" t="s">
        <v>134</v>
      </c>
      <c r="O6" s="34"/>
      <c r="P6" s="11"/>
      <c r="R6" s="34" t="s">
        <v>116</v>
      </c>
      <c r="S6" s="34"/>
      <c r="V6" s="27"/>
      <c r="W6" s="27"/>
    </row>
    <row r="7" spans="1:23" x14ac:dyDescent="0.35">
      <c r="A7" s="12"/>
      <c r="B7" s="35">
        <f>Analysis!A7</f>
        <v>2493000</v>
      </c>
      <c r="C7" s="35"/>
      <c r="D7" s="12"/>
      <c r="E7" s="12"/>
      <c r="F7" s="37">
        <f>Analysis!C7</f>
        <v>725500</v>
      </c>
      <c r="G7" s="37"/>
      <c r="H7" s="14"/>
      <c r="I7" s="12"/>
      <c r="J7" s="35">
        <f>Analysis!E7</f>
        <v>48</v>
      </c>
      <c r="K7" s="35"/>
      <c r="M7" s="12"/>
      <c r="N7" s="35">
        <f>Analysis!G7</f>
        <v>141</v>
      </c>
      <c r="O7" s="35"/>
      <c r="P7" s="12"/>
      <c r="R7" s="36">
        <f>Analysis!I7</f>
        <v>0.29101484155635782</v>
      </c>
      <c r="S7" s="35"/>
      <c r="V7" s="28"/>
      <c r="W7" s="28"/>
    </row>
  </sheetData>
  <mergeCells count="14">
    <mergeCell ref="A1:W2"/>
    <mergeCell ref="A4:W4"/>
    <mergeCell ref="J6:K6"/>
    <mergeCell ref="J7:K7"/>
    <mergeCell ref="V6:W6"/>
    <mergeCell ref="V7:W7"/>
    <mergeCell ref="N6:O6"/>
    <mergeCell ref="N7:O7"/>
    <mergeCell ref="B6:C6"/>
    <mergeCell ref="B7:C7"/>
    <mergeCell ref="R6:S6"/>
    <mergeCell ref="R7:S7"/>
    <mergeCell ref="F6:G6"/>
    <mergeCell ref="F7:G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0DABD-1BBD-4A43-9C66-6111C27CB6FE}">
  <dimension ref="A1:O7"/>
  <sheetViews>
    <sheetView showGridLines="0" tabSelected="1" topLeftCell="A15" zoomScale="60" zoomScaleNormal="60" workbookViewId="0">
      <selection activeCell="P32" sqref="P32"/>
    </sheetView>
  </sheetViews>
  <sheetFormatPr defaultRowHeight="14.5" x14ac:dyDescent="0.35"/>
  <sheetData>
    <row r="1" spans="1:15" x14ac:dyDescent="0.35">
      <c r="A1" s="32" t="s">
        <v>141</v>
      </c>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8"/>
      <c r="B3" s="8"/>
      <c r="C3" s="8"/>
      <c r="D3" s="8"/>
      <c r="E3" s="8"/>
      <c r="F3" s="8"/>
      <c r="G3" s="8"/>
      <c r="H3" s="8"/>
      <c r="I3" s="8"/>
      <c r="J3" s="8"/>
      <c r="K3" s="8"/>
      <c r="L3" s="8"/>
      <c r="M3" s="8"/>
      <c r="N3" s="8"/>
      <c r="O3" s="8"/>
    </row>
    <row r="4" spans="1:15" ht="15.5" x14ac:dyDescent="0.35">
      <c r="A4" s="33" t="s">
        <v>142</v>
      </c>
      <c r="B4" s="39"/>
      <c r="C4" s="39"/>
      <c r="D4" s="39"/>
      <c r="E4" s="39"/>
      <c r="F4" s="39"/>
      <c r="G4" s="39"/>
      <c r="H4" s="39"/>
      <c r="I4" s="39"/>
      <c r="J4" s="39"/>
      <c r="K4" s="39"/>
      <c r="L4" s="39"/>
      <c r="M4" s="39"/>
      <c r="N4" s="39"/>
      <c r="O4" s="39"/>
    </row>
    <row r="5" spans="1:15" ht="15.5" x14ac:dyDescent="0.35">
      <c r="A5" s="13"/>
      <c r="B5" s="8"/>
      <c r="C5" s="8"/>
      <c r="D5" s="8"/>
      <c r="E5" s="8"/>
      <c r="F5" s="8"/>
      <c r="G5" s="8"/>
      <c r="H5" s="8"/>
      <c r="I5" s="8"/>
      <c r="J5" s="8"/>
      <c r="K5" s="8"/>
      <c r="L5" s="8"/>
      <c r="M5" s="8"/>
      <c r="N5" s="8"/>
      <c r="O5" s="8"/>
    </row>
    <row r="6" spans="1:15" s="10" customFormat="1" x14ac:dyDescent="0.35">
      <c r="A6" s="34" t="s">
        <v>131</v>
      </c>
      <c r="B6" s="34"/>
      <c r="D6" s="34" t="s">
        <v>132</v>
      </c>
      <c r="E6" s="34"/>
      <c r="G6" s="34" t="s">
        <v>133</v>
      </c>
      <c r="H6" s="34"/>
      <c r="J6" s="34" t="s">
        <v>134</v>
      </c>
      <c r="K6" s="34"/>
      <c r="M6" s="34" t="s">
        <v>116</v>
      </c>
      <c r="N6" s="34"/>
    </row>
    <row r="7" spans="1:15" x14ac:dyDescent="0.35">
      <c r="A7" s="35">
        <f>Analysis!A7</f>
        <v>2493000</v>
      </c>
      <c r="B7" s="35"/>
      <c r="D7" s="35">
        <f>Analysis!C7</f>
        <v>725500</v>
      </c>
      <c r="E7" s="35"/>
      <c r="G7" s="35">
        <f>Analysis!E7</f>
        <v>48</v>
      </c>
      <c r="H7" s="35"/>
      <c r="J7" s="35">
        <f>Analysis!G7</f>
        <v>141</v>
      </c>
      <c r="K7" s="35"/>
      <c r="M7" s="38">
        <f>Analysis!I7</f>
        <v>0.29101484155635782</v>
      </c>
      <c r="N7" s="38"/>
    </row>
  </sheetData>
  <mergeCells count="12">
    <mergeCell ref="A1:O2"/>
    <mergeCell ref="A4:O4"/>
    <mergeCell ref="A6:B6"/>
    <mergeCell ref="D6:E6"/>
    <mergeCell ref="G6:H6"/>
    <mergeCell ref="J6:K6"/>
    <mergeCell ref="M6:N6"/>
    <mergeCell ref="A7:B7"/>
    <mergeCell ref="D7:E7"/>
    <mergeCell ref="G7:H7"/>
    <mergeCell ref="J7:K7"/>
    <mergeCell ref="M7:N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5ACC26-D36A-45C4-8BA9-AFFD2FB476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Raw_Orders</vt:lpstr>
      <vt:lpstr>Clean_Orders</vt:lpstr>
      <vt:lpstr>Customers</vt:lpstr>
      <vt:lpstr>Monthly_Targets</vt:lpstr>
      <vt:lpstr>Monthly_Targets_Clean</vt:lpstr>
      <vt:lpstr>Analysis</vt:lpstr>
      <vt:lpstr>Visualization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 Qadeer</cp:lastModifiedBy>
  <dcterms:created xsi:type="dcterms:W3CDTF">2026-09-15T18:36:43Z</dcterms:created>
  <dcterms:modified xsi:type="dcterms:W3CDTF">2026-09-17T17:04:24Z</dcterms:modified>
</cp:coreProperties>
</file>